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et up Branco" sheetId="1" state="visible" r:id="rId3"/>
    <sheet name="Set up Kraft" sheetId="2" state="visible" r:id="rId4"/>
    <sheet name="De_Para" sheetId="3" state="visible" r:id="rId5"/>
    <sheet name="Gráfico1" sheetId="4" state="visible" r:id="rId6"/>
    <sheet name="Gráfico2" sheetId="5" state="visible" r:id="rId7"/>
    <sheet name="Perda estimada" sheetId="6" state="visible" r:id="rId8"/>
    <sheet name="Orçamento" sheetId="7" state="visible" r:id="rId9"/>
  </sheets>
  <definedNames>
    <definedName function="false" hidden="true" localSheetId="2" name="_xlnm._FilterDatabase" vbProcedure="false">De_Para!$B$1:$C$998</definedName>
    <definedName function="false" hidden="true" localSheetId="5" name="_xlnm._FilterDatabase" vbProcedure="false">'Perda estimada'!$A$1:$G$301</definedName>
    <definedName function="false" hidden="false" localSheetId="2" name="_xlnm.Criteria" vbProcedure="false">De_Para!$V$32:$V$33</definedName>
    <definedName function="false" hidden="false" localSheetId="2" name="_xlnm.Extract" vbProcedure="false">De_Para!$AB$28</definedName>
    <definedName function="false" hidden="false" localSheetId="5" name="_xlnm.Criteria" vbProcedure="false">'Perda estimada'!$V$32:$V$33</definedName>
    <definedName function="false" hidden="false" localSheetId="5" name="_xlnm.Extract" vbProcedure="false">'Perda estimada'!$AB$28</definedName>
  </definedNames>
  <calcPr iterateCount="100" refMode="A1" iterate="false" iterateDelta="0.0001"/>
  <pivotCaches>
    <pivotCache cacheId="1" r:id="rId11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<sst xmlns="http://schemas.openxmlformats.org/spreadsheetml/2006/main" count="2130" uniqueCount="1132">
  <si>
    <t xml:space="preserve">Produto</t>
  </si>
  <si>
    <t xml:space="preserve">KKC205</t>
  </si>
  <si>
    <t xml:space="preserve">KKS205</t>
  </si>
  <si>
    <t xml:space="preserve">KKS250</t>
  </si>
  <si>
    <t xml:space="preserve">KKC227</t>
  </si>
  <si>
    <t xml:space="preserve">KKC233</t>
  </si>
  <si>
    <t xml:space="preserve">KKC273</t>
  </si>
  <si>
    <t xml:space="preserve">KKC290</t>
  </si>
  <si>
    <t xml:space="preserve">KKL205</t>
  </si>
  <si>
    <t xml:space="preserve">KKL276</t>
  </si>
  <si>
    <t xml:space="preserve">CKQ276</t>
  </si>
  <si>
    <t xml:space="preserve">CHD318</t>
  </si>
  <si>
    <t xml:space="preserve">CKQ300</t>
  </si>
  <si>
    <t xml:space="preserve">CNT210</t>
  </si>
  <si>
    <t xml:space="preserve">CNT276</t>
  </si>
  <si>
    <t xml:space="preserve">CKF205</t>
  </si>
  <si>
    <t xml:space="preserve">CKF227</t>
  </si>
  <si>
    <t xml:space="preserve">CKF233</t>
  </si>
  <si>
    <t xml:space="preserve">CKF250</t>
  </si>
  <si>
    <t xml:space="preserve">CKF276</t>
  </si>
  <si>
    <t xml:space="preserve">CKF285</t>
  </si>
  <si>
    <t xml:space="preserve">CKF312</t>
  </si>
  <si>
    <t xml:space="preserve">CKF332</t>
  </si>
  <si>
    <t xml:space="preserve">CKF360</t>
  </si>
  <si>
    <t xml:space="preserve">CHD358</t>
  </si>
  <si>
    <t xml:space="preserve">EWP190</t>
  </si>
  <si>
    <t xml:space="preserve">EWP175</t>
  </si>
  <si>
    <t xml:space="preserve">K28135</t>
  </si>
  <si>
    <t xml:space="preserve">K28150</t>
  </si>
  <si>
    <t xml:space="preserve">K28170</t>
  </si>
  <si>
    <t xml:space="preserve">K28200</t>
  </si>
  <si>
    <t xml:space="preserve">LWE175</t>
  </si>
  <si>
    <t xml:space="preserve">EWC175</t>
  </si>
  <si>
    <t xml:space="preserve">EWC190</t>
  </si>
  <si>
    <t xml:space="preserve">EKW175</t>
  </si>
  <si>
    <t xml:space="preserve">De&gt;Para</t>
  </si>
  <si>
    <t xml:space="preserve">(t)</t>
  </si>
  <si>
    <t xml:space="preserve">CHD318&gt;CHD318</t>
  </si>
  <si>
    <t xml:space="preserve">CHD318&gt;CHD358</t>
  </si>
  <si>
    <t xml:space="preserve">CHD318&gt;CKF205</t>
  </si>
  <si>
    <t xml:space="preserve">CHD318&gt;CKF227</t>
  </si>
  <si>
    <t xml:space="preserve">CHD318&gt;CKF233</t>
  </si>
  <si>
    <t xml:space="preserve">CHD318&gt;CKF250</t>
  </si>
  <si>
    <t xml:space="preserve">CHD318&gt;CKF276</t>
  </si>
  <si>
    <t xml:space="preserve">CHD318&gt;CKF285</t>
  </si>
  <si>
    <t xml:space="preserve">CHD318&gt;CKF312</t>
  </si>
  <si>
    <t xml:space="preserve">CHD318&gt;CKF332</t>
  </si>
  <si>
    <t xml:space="preserve">CHD318&gt;CKF360</t>
  </si>
  <si>
    <t xml:space="preserve">CHD318&gt;CKQ276</t>
  </si>
  <si>
    <t xml:space="preserve">CHD318&gt;CKQ300</t>
  </si>
  <si>
    <t xml:space="preserve">CHD318&gt;CNT210</t>
  </si>
  <si>
    <t xml:space="preserve">CHD318&gt;CNT276</t>
  </si>
  <si>
    <t xml:space="preserve">CHD318&gt;EKW200</t>
  </si>
  <si>
    <t xml:space="preserve">CHD318&gt;EWP175</t>
  </si>
  <si>
    <t xml:space="preserve">CHD318&gt;EWP190</t>
  </si>
  <si>
    <t xml:space="preserve">CHD318&gt;K28170</t>
  </si>
  <si>
    <t xml:space="preserve">CHD318&gt;K28200</t>
  </si>
  <si>
    <t xml:space="preserve">CHD318&gt;KKC205</t>
  </si>
  <si>
    <t xml:space="preserve">CHD318&gt;KKC227</t>
  </si>
  <si>
    <t xml:space="preserve">CHD318&gt;KKC233</t>
  </si>
  <si>
    <t xml:space="preserve">CHD318&gt;KKC273</t>
  </si>
  <si>
    <t xml:space="preserve">CHD318&gt;KKC290</t>
  </si>
  <si>
    <t xml:space="preserve">CHD318&gt;KKL205</t>
  </si>
  <si>
    <t xml:space="preserve">CHD318&gt;KKL276</t>
  </si>
  <si>
    <t xml:space="preserve">CHD318&gt;KKS205</t>
  </si>
  <si>
    <t xml:space="preserve">CHD318&gt;KKS250</t>
  </si>
  <si>
    <t xml:space="preserve">CHD318&gt;WTP300</t>
  </si>
  <si>
    <t xml:space="preserve">CHD358&gt;CHD318</t>
  </si>
  <si>
    <t xml:space="preserve">CHD358&gt;CHD358</t>
  </si>
  <si>
    <t xml:space="preserve">CHD358&gt;CKF205</t>
  </si>
  <si>
    <t xml:space="preserve">CHD358&gt;CKF227</t>
  </si>
  <si>
    <t xml:space="preserve">CHD358&gt;CKF233</t>
  </si>
  <si>
    <t xml:space="preserve">CHD358&gt;CKF250</t>
  </si>
  <si>
    <t xml:space="preserve">CHD358&gt;CKF276</t>
  </si>
  <si>
    <t xml:space="preserve">CHD358&gt;CKF285</t>
  </si>
  <si>
    <t xml:space="preserve">CHD358&gt;CKF312</t>
  </si>
  <si>
    <t xml:space="preserve">CHD358&gt;CKF332</t>
  </si>
  <si>
    <t xml:space="preserve">CHD358&gt;CKF360</t>
  </si>
  <si>
    <t xml:space="preserve">CHD358&gt;CKQ276</t>
  </si>
  <si>
    <t xml:space="preserve">CHD358&gt;CKQ300</t>
  </si>
  <si>
    <t xml:space="preserve">CHD358&gt;CNT210</t>
  </si>
  <si>
    <t xml:space="preserve">CHD358&gt;CNT276</t>
  </si>
  <si>
    <t xml:space="preserve">CHD358&gt;EWP175</t>
  </si>
  <si>
    <t xml:space="preserve">CHD358&gt;EWP190</t>
  </si>
  <si>
    <t xml:space="preserve">CHD358&gt;KKC205</t>
  </si>
  <si>
    <t xml:space="preserve">CHD358&gt;KKC227</t>
  </si>
  <si>
    <t xml:space="preserve">CHD358&gt;KKC233</t>
  </si>
  <si>
    <t xml:space="preserve">CHD358&gt;KKC273</t>
  </si>
  <si>
    <t xml:space="preserve">CHD358&gt;KKC290</t>
  </si>
  <si>
    <t xml:space="preserve">CHD358&gt;KKL205</t>
  </si>
  <si>
    <t xml:space="preserve">CHD358&gt;KKL276</t>
  </si>
  <si>
    <t xml:space="preserve">CHD358&gt;KKS205</t>
  </si>
  <si>
    <t xml:space="preserve">CHD358&gt;KKS250</t>
  </si>
  <si>
    <t xml:space="preserve">CKF205&gt;CHD318</t>
  </si>
  <si>
    <t xml:space="preserve">CKF205&gt;CHD358</t>
  </si>
  <si>
    <t xml:space="preserve">CKF205&gt;CKF205</t>
  </si>
  <si>
    <t xml:space="preserve">CKF205&gt;CKF227</t>
  </si>
  <si>
    <t xml:space="preserve">CKF205&gt;CKF233</t>
  </si>
  <si>
    <t xml:space="preserve">CKF205&gt;CKF250</t>
  </si>
  <si>
    <t xml:space="preserve">CKF205&gt;CKF276</t>
  </si>
  <si>
    <t xml:space="preserve">CKF205&gt;CKF285</t>
  </si>
  <si>
    <t xml:space="preserve">CKF205&gt;CKF312</t>
  </si>
  <si>
    <t xml:space="preserve">CKF205&gt;CKF332</t>
  </si>
  <si>
    <t xml:space="preserve">CKF205&gt;CKF360</t>
  </si>
  <si>
    <t xml:space="preserve">CKF205&gt;CKQ276</t>
  </si>
  <si>
    <t xml:space="preserve">CKF205&gt;CKQ300</t>
  </si>
  <si>
    <t xml:space="preserve">CKF205&gt;CNT210</t>
  </si>
  <si>
    <t xml:space="preserve">CKF205&gt;CNT276</t>
  </si>
  <si>
    <t xml:space="preserve">CKF205&gt;EWP175</t>
  </si>
  <si>
    <t xml:space="preserve">CKF205&gt;EWP190</t>
  </si>
  <si>
    <t xml:space="preserve">CKF205&gt;KKC205</t>
  </si>
  <si>
    <t xml:space="preserve">CKF205&gt;KKC227</t>
  </si>
  <si>
    <t xml:space="preserve">CKF205&gt;KKC233</t>
  </si>
  <si>
    <t xml:space="preserve">CKF205&gt;KKC273</t>
  </si>
  <si>
    <t xml:space="preserve">CKF205&gt;KKC290</t>
  </si>
  <si>
    <t xml:space="preserve">CKF205&gt;KKL195</t>
  </si>
  <si>
    <t xml:space="preserve">CKF205&gt;KKL205</t>
  </si>
  <si>
    <t xml:space="preserve">CKF205&gt;KKL276</t>
  </si>
  <si>
    <t xml:space="preserve">CKF205&gt;KKS205</t>
  </si>
  <si>
    <t xml:space="preserve">CKF205&gt;KKS250</t>
  </si>
  <si>
    <t xml:space="preserve">CKF227&gt;CHD318</t>
  </si>
  <si>
    <t xml:space="preserve">CKF227&gt;CHD358</t>
  </si>
  <si>
    <t xml:space="preserve">CKF227&gt;CKF205</t>
  </si>
  <si>
    <t xml:space="preserve">CKF227&gt;CKF227</t>
  </si>
  <si>
    <t xml:space="preserve">CKF227&gt;CKF233</t>
  </si>
  <si>
    <t xml:space="preserve">CKF227&gt;CKF250</t>
  </si>
  <si>
    <t xml:space="preserve">CKF227&gt;CKF276</t>
  </si>
  <si>
    <t xml:space="preserve">CKF227&gt;CKF285</t>
  </si>
  <si>
    <t xml:space="preserve">CKF227&gt;CKF312</t>
  </si>
  <si>
    <t xml:space="preserve">CKF227&gt;CKF332</t>
  </si>
  <si>
    <t xml:space="preserve">CKF227&gt;CKF360</t>
  </si>
  <si>
    <t xml:space="preserve">CKF227&gt;CKQ276</t>
  </si>
  <si>
    <t xml:space="preserve">CKF227&gt;CKQ300</t>
  </si>
  <si>
    <t xml:space="preserve">CKF227&gt;CNT210</t>
  </si>
  <si>
    <t xml:space="preserve">CKF227&gt;CNT276</t>
  </si>
  <si>
    <t xml:space="preserve">CKF227&gt;EWP175</t>
  </si>
  <si>
    <t xml:space="preserve">CKF227&gt;EWP190</t>
  </si>
  <si>
    <t xml:space="preserve">CKF227&gt;KKC205</t>
  </si>
  <si>
    <t xml:space="preserve">CKF227&gt;KKC227</t>
  </si>
  <si>
    <t xml:space="preserve">CKF227&gt;KKC233</t>
  </si>
  <si>
    <t xml:space="preserve">CKF227&gt;KKC273</t>
  </si>
  <si>
    <t xml:space="preserve">CKF227&gt;KKC290</t>
  </si>
  <si>
    <t xml:space="preserve">CKF227&gt;KKL205</t>
  </si>
  <si>
    <t xml:space="preserve">CKF227&gt;KKL276</t>
  </si>
  <si>
    <t xml:space="preserve">CKF227&gt;KKS205</t>
  </si>
  <si>
    <t xml:space="preserve">CKF227&gt;KKS250</t>
  </si>
  <si>
    <t xml:space="preserve">CKF233&gt;CHD318</t>
  </si>
  <si>
    <t xml:space="preserve">CKF233&gt;CHD358</t>
  </si>
  <si>
    <t xml:space="preserve">CKF233&gt;CKF205</t>
  </si>
  <si>
    <t xml:space="preserve">CKF233&gt;CKF227</t>
  </si>
  <si>
    <t xml:space="preserve">CKF233&gt;CKF233</t>
  </si>
  <si>
    <t xml:space="preserve">CKF233&gt;CKF250</t>
  </si>
  <si>
    <t xml:space="preserve">CKF233&gt;CKF276</t>
  </si>
  <si>
    <t xml:space="preserve">CKF233&gt;CKF285</t>
  </si>
  <si>
    <t xml:space="preserve">CKF233&gt;CKF312</t>
  </si>
  <si>
    <t xml:space="preserve">CKF233&gt;CKF332</t>
  </si>
  <si>
    <t xml:space="preserve">CKF233&gt;CKF360</t>
  </si>
  <si>
    <t xml:space="preserve">CKF233&gt;CKQ276</t>
  </si>
  <si>
    <t xml:space="preserve">CKF233&gt;CKQ300</t>
  </si>
  <si>
    <t xml:space="preserve">CKF233&gt;CNT210</t>
  </si>
  <si>
    <t xml:space="preserve">CKF233&gt;CNT276</t>
  </si>
  <si>
    <t xml:space="preserve">CKF233&gt;EKW200</t>
  </si>
  <si>
    <t xml:space="preserve">CKF233&gt;EWC190</t>
  </si>
  <si>
    <t xml:space="preserve">CKF233&gt;EWP175</t>
  </si>
  <si>
    <t xml:space="preserve">CKF233&gt;EWP190</t>
  </si>
  <si>
    <t xml:space="preserve">CKF233&gt;K28150</t>
  </si>
  <si>
    <t xml:space="preserve">CKF233&gt;KKC205</t>
  </si>
  <si>
    <t xml:space="preserve">CKF233&gt;KKC227</t>
  </si>
  <si>
    <t xml:space="preserve">CKF233&gt;KKC233</t>
  </si>
  <si>
    <t xml:space="preserve">CKF233&gt;KKC273</t>
  </si>
  <si>
    <t xml:space="preserve">CKF233&gt;KKC290</t>
  </si>
  <si>
    <t xml:space="preserve">CKF233&gt;KKL200</t>
  </si>
  <si>
    <t xml:space="preserve">CKF233&gt;KKL205</t>
  </si>
  <si>
    <t xml:space="preserve">CKF233&gt;KKL276</t>
  </si>
  <si>
    <t xml:space="preserve">CKF233&gt;KKS205</t>
  </si>
  <si>
    <t xml:space="preserve">CKF233&gt;KKS250</t>
  </si>
  <si>
    <t xml:space="preserve">CKF233&gt;WTP265</t>
  </si>
  <si>
    <t xml:space="preserve">CKF250&gt;CHD318</t>
  </si>
  <si>
    <t xml:space="preserve">CKF250&gt;CHD358</t>
  </si>
  <si>
    <t xml:space="preserve">CKF250&gt;CKF205</t>
  </si>
  <si>
    <t xml:space="preserve">CKF250&gt;CKF227</t>
  </si>
  <si>
    <t xml:space="preserve">CKF250&gt;CKF233</t>
  </si>
  <si>
    <t xml:space="preserve">CKF250&gt;CKF250</t>
  </si>
  <si>
    <t xml:space="preserve">CKF250&gt;CKF276</t>
  </si>
  <si>
    <t xml:space="preserve">CKF250&gt;CKF285</t>
  </si>
  <si>
    <t xml:space="preserve">CKF250&gt;CKF312</t>
  </si>
  <si>
    <t xml:space="preserve">CKF250&gt;CKF332</t>
  </si>
  <si>
    <t xml:space="preserve">CKF250&gt;CKF360</t>
  </si>
  <si>
    <t xml:space="preserve">CKF250&gt;CKQ276</t>
  </si>
  <si>
    <t xml:space="preserve">CKF250&gt;CKQ300</t>
  </si>
  <si>
    <t xml:space="preserve">CKF250&gt;CNT210</t>
  </si>
  <si>
    <t xml:space="preserve">CKF250&gt;CNT276</t>
  </si>
  <si>
    <t xml:space="preserve">CKF250&gt;EWP175</t>
  </si>
  <si>
    <t xml:space="preserve">CKF250&gt;EWP190</t>
  </si>
  <si>
    <t xml:space="preserve">CKF250&gt;K28200</t>
  </si>
  <si>
    <t xml:space="preserve">CKF250&gt;KKC205</t>
  </si>
  <si>
    <t xml:space="preserve">CKF250&gt;KKC227</t>
  </si>
  <si>
    <t xml:space="preserve">CKF250&gt;KKC233</t>
  </si>
  <si>
    <t xml:space="preserve">CKF250&gt;KKC273</t>
  </si>
  <si>
    <t xml:space="preserve">CKF250&gt;KKC290</t>
  </si>
  <si>
    <t xml:space="preserve">CKF250&gt;KKL205</t>
  </si>
  <si>
    <t xml:space="preserve">CKF250&gt;KKL276</t>
  </si>
  <si>
    <t xml:space="preserve">CKF250&gt;KKS205</t>
  </si>
  <si>
    <t xml:space="preserve">CKF250&gt;KKS250</t>
  </si>
  <si>
    <t xml:space="preserve">CKF250&gt;LLE200</t>
  </si>
  <si>
    <t xml:space="preserve">CKF276&gt;CHD318</t>
  </si>
  <si>
    <t xml:space="preserve">CKF276&gt;CHD358</t>
  </si>
  <si>
    <t xml:space="preserve">CKF276&gt;CKF205</t>
  </si>
  <si>
    <t xml:space="preserve">CKF276&gt;CKF227</t>
  </si>
  <si>
    <t xml:space="preserve">CKF276&gt;CKF233</t>
  </si>
  <si>
    <t xml:space="preserve">CKF276&gt;CKF250</t>
  </si>
  <si>
    <t xml:space="preserve">CKF276&gt;CKF276</t>
  </si>
  <si>
    <t xml:space="preserve">CKF276&gt;CKF285</t>
  </si>
  <si>
    <t xml:space="preserve">CKF276&gt;CKF312</t>
  </si>
  <si>
    <t xml:space="preserve">CKF276&gt;CKF332</t>
  </si>
  <si>
    <t xml:space="preserve">CKF276&gt;CKF360</t>
  </si>
  <si>
    <t xml:space="preserve">CKF276&gt;CKQ276</t>
  </si>
  <si>
    <t xml:space="preserve">CKF276&gt;CKQ300</t>
  </si>
  <si>
    <t xml:space="preserve">CKF276&gt;CNT210</t>
  </si>
  <si>
    <t xml:space="preserve">CKF276&gt;CNT276</t>
  </si>
  <si>
    <t xml:space="preserve">CKF276&gt;EWP175</t>
  </si>
  <si>
    <t xml:space="preserve">CKF276&gt;EWP190</t>
  </si>
  <si>
    <t xml:space="preserve">CKF276&gt;K28170</t>
  </si>
  <si>
    <t xml:space="preserve">CKF276&gt;KKC205</t>
  </si>
  <si>
    <t xml:space="preserve">CKF276&gt;KKC227</t>
  </si>
  <si>
    <t xml:space="preserve">CKF276&gt;KKC233</t>
  </si>
  <si>
    <t xml:space="preserve">CKF276&gt;KKC273</t>
  </si>
  <si>
    <t xml:space="preserve">CKF276&gt;KKC290</t>
  </si>
  <si>
    <t xml:space="preserve">CKF276&gt;KKL205</t>
  </si>
  <si>
    <t xml:space="preserve">CKF276&gt;KKL276</t>
  </si>
  <si>
    <t xml:space="preserve">CKF276&gt;KKS205</t>
  </si>
  <si>
    <t xml:space="preserve">CKF276&gt;KKS250</t>
  </si>
  <si>
    <t xml:space="preserve">CKF285&gt;CHD318</t>
  </si>
  <si>
    <t xml:space="preserve">CKF285&gt;CHD358</t>
  </si>
  <si>
    <t xml:space="preserve">CKF285&gt;CKF205</t>
  </si>
  <si>
    <t xml:space="preserve">CKF285&gt;CKF227</t>
  </si>
  <si>
    <t xml:space="preserve">CKF285&gt;CKF233</t>
  </si>
  <si>
    <t xml:space="preserve">CKF285&gt;CKF250</t>
  </si>
  <si>
    <t xml:space="preserve">CKF285&gt;CKF276</t>
  </si>
  <si>
    <t xml:space="preserve">CKF285&gt;CKF285</t>
  </si>
  <si>
    <t xml:space="preserve">CKF285&gt;CKF312</t>
  </si>
  <si>
    <t xml:space="preserve">CKF285&gt;CKF332</t>
  </si>
  <si>
    <t xml:space="preserve">CKF285&gt;CKF360</t>
  </si>
  <si>
    <t xml:space="preserve">CKF285&gt;CKQ276</t>
  </si>
  <si>
    <t xml:space="preserve">CKF285&gt;CKQ300</t>
  </si>
  <si>
    <t xml:space="preserve">CKF285&gt;CNT210</t>
  </si>
  <si>
    <t xml:space="preserve">CKF285&gt;CNT276</t>
  </si>
  <si>
    <t xml:space="preserve">CKF285&gt;EWP175</t>
  </si>
  <si>
    <t xml:space="preserve">CKF285&gt;EWP190</t>
  </si>
  <si>
    <t xml:space="preserve">CKF285&gt;K28150</t>
  </si>
  <si>
    <t xml:space="preserve">CKF285&gt;KKC205</t>
  </si>
  <si>
    <t xml:space="preserve">CKF285&gt;KKC227</t>
  </si>
  <si>
    <t xml:space="preserve">CKF285&gt;KKC233</t>
  </si>
  <si>
    <t xml:space="preserve">CKF285&gt;KKC273</t>
  </si>
  <si>
    <t xml:space="preserve">CKF285&gt;KKC290</t>
  </si>
  <si>
    <t xml:space="preserve">CKF285&gt;KKL205</t>
  </si>
  <si>
    <t xml:space="preserve">CKF285&gt;KKL276</t>
  </si>
  <si>
    <t xml:space="preserve">CKF285&gt;KKS205</t>
  </si>
  <si>
    <t xml:space="preserve">CKF285&gt;KKS250</t>
  </si>
  <si>
    <t xml:space="preserve">CKF312&gt;CHD318</t>
  </si>
  <si>
    <t xml:space="preserve">CKF312&gt;CHD358</t>
  </si>
  <si>
    <t xml:space="preserve">CKF312&gt;CKF205</t>
  </si>
  <si>
    <t xml:space="preserve">CKF312&gt;CKF227</t>
  </si>
  <si>
    <t xml:space="preserve">CKF312&gt;CKF233</t>
  </si>
  <si>
    <t xml:space="preserve">CKF312&gt;CKF250</t>
  </si>
  <si>
    <t xml:space="preserve">CKF312&gt;CKF276</t>
  </si>
  <si>
    <t xml:space="preserve">CKF312&gt;CKF285</t>
  </si>
  <si>
    <t xml:space="preserve">CKF312&gt;CKF312</t>
  </si>
  <si>
    <t xml:space="preserve">CKF312&gt;CKF332</t>
  </si>
  <si>
    <t xml:space="preserve">CKF312&gt;CKF360</t>
  </si>
  <si>
    <t xml:space="preserve">CKF312&gt;CKQ276</t>
  </si>
  <si>
    <t xml:space="preserve">CKF312&gt;CKQ300</t>
  </si>
  <si>
    <t xml:space="preserve">CKF312&gt;CNT210</t>
  </si>
  <si>
    <t xml:space="preserve">CKF312&gt;CNT276</t>
  </si>
  <si>
    <t xml:space="preserve">CKF312&gt;EWP175</t>
  </si>
  <si>
    <t xml:space="preserve">CKF312&gt;EWP190</t>
  </si>
  <si>
    <t xml:space="preserve">CKF312&gt;K28150</t>
  </si>
  <si>
    <t xml:space="preserve">CKF312&gt;KKC205</t>
  </si>
  <si>
    <t xml:space="preserve">CKF312&gt;KKC227</t>
  </si>
  <si>
    <t xml:space="preserve">CKF312&gt;KKC233</t>
  </si>
  <si>
    <t xml:space="preserve">CKF312&gt;KKC273</t>
  </si>
  <si>
    <t xml:space="preserve">CKF312&gt;KKC290</t>
  </si>
  <si>
    <t xml:space="preserve">CKF312&gt;KKL205</t>
  </si>
  <si>
    <t xml:space="preserve">CKF312&gt;KKL276</t>
  </si>
  <si>
    <t xml:space="preserve">CKF312&gt;KKS205</t>
  </si>
  <si>
    <t xml:space="preserve">CKF312&gt;KKS250</t>
  </si>
  <si>
    <t xml:space="preserve">CKF332&gt;CHD318</t>
  </si>
  <si>
    <t xml:space="preserve">CKF332&gt;CHD358</t>
  </si>
  <si>
    <t xml:space="preserve">CKF332&gt;CKF205</t>
  </si>
  <si>
    <t xml:space="preserve">CKF332&gt;CKF227</t>
  </si>
  <si>
    <t xml:space="preserve">CKF332&gt;CKF233</t>
  </si>
  <si>
    <t xml:space="preserve">CKF332&gt;CKF250</t>
  </si>
  <si>
    <t xml:space="preserve">CKF332&gt;CKF276</t>
  </si>
  <si>
    <t xml:space="preserve">CKF332&gt;CKF285</t>
  </si>
  <si>
    <t xml:space="preserve">CKF332&gt;CKF312</t>
  </si>
  <si>
    <t xml:space="preserve">CKF332&gt;CKF332</t>
  </si>
  <si>
    <t xml:space="preserve">CKF332&gt;CKF360</t>
  </si>
  <si>
    <t xml:space="preserve">CKF332&gt;CKQ276</t>
  </si>
  <si>
    <t xml:space="preserve">CKF332&gt;CKQ300</t>
  </si>
  <si>
    <t xml:space="preserve">CKF332&gt;CNT210</t>
  </si>
  <si>
    <t xml:space="preserve">CKF332&gt;CNT276</t>
  </si>
  <si>
    <t xml:space="preserve">CKF332&gt;EWP175</t>
  </si>
  <si>
    <t xml:space="preserve">CKF332&gt;EWP190</t>
  </si>
  <si>
    <t xml:space="preserve">CKF332&gt;KKC205</t>
  </si>
  <si>
    <t xml:space="preserve">CKF332&gt;KKC227</t>
  </si>
  <si>
    <t xml:space="preserve">CKF332&gt;KKC233</t>
  </si>
  <si>
    <t xml:space="preserve">CKF332&gt;KKC273</t>
  </si>
  <si>
    <t xml:space="preserve">CKF332&gt;KKC290</t>
  </si>
  <si>
    <t xml:space="preserve">CKF332&gt;KKL205</t>
  </si>
  <si>
    <t xml:space="preserve">CKF332&gt;KKL276</t>
  </si>
  <si>
    <t xml:space="preserve">CKF332&gt;KKS205</t>
  </si>
  <si>
    <t xml:space="preserve">CKF332&gt;KKS250</t>
  </si>
  <si>
    <t xml:space="preserve">CKF360&gt;CHD318</t>
  </si>
  <si>
    <t xml:space="preserve">CKF360&gt;CHD358</t>
  </si>
  <si>
    <t xml:space="preserve">CKF360&gt;CKF205</t>
  </si>
  <si>
    <t xml:space="preserve">CKF360&gt;CKF227</t>
  </si>
  <si>
    <t xml:space="preserve">CKF360&gt;CKF233</t>
  </si>
  <si>
    <t xml:space="preserve">CKF360&gt;CKF250</t>
  </si>
  <si>
    <t xml:space="preserve">CKF360&gt;CKF276</t>
  </si>
  <si>
    <t xml:space="preserve">CKF360&gt;CKF285</t>
  </si>
  <si>
    <t xml:space="preserve">CKF360&gt;CKF312</t>
  </si>
  <si>
    <t xml:space="preserve">CKF360&gt;CKF332</t>
  </si>
  <si>
    <t xml:space="preserve">CKF360&gt;CKF360</t>
  </si>
  <si>
    <t xml:space="preserve">CKF360&gt;CKQ276</t>
  </si>
  <si>
    <t xml:space="preserve">CKF360&gt;CKQ300</t>
  </si>
  <si>
    <t xml:space="preserve">CKF360&gt;CNT210</t>
  </si>
  <si>
    <t xml:space="preserve">CKF360&gt;CNT276</t>
  </si>
  <si>
    <t xml:space="preserve">CKF360&gt;EWP175</t>
  </si>
  <si>
    <t xml:space="preserve">CKF360&gt;EWP190</t>
  </si>
  <si>
    <t xml:space="preserve">CKF360&gt;KKC205</t>
  </si>
  <si>
    <t xml:space="preserve">CKF360&gt;KKC227</t>
  </si>
  <si>
    <t xml:space="preserve">CKF360&gt;KKC233</t>
  </si>
  <si>
    <t xml:space="preserve">CKF360&gt;KKC273</t>
  </si>
  <si>
    <t xml:space="preserve">CKF360&gt;KKC290</t>
  </si>
  <si>
    <t xml:space="preserve">CKF360&gt;KKL205</t>
  </si>
  <si>
    <t xml:space="preserve">CKF360&gt;KKL276</t>
  </si>
  <si>
    <t xml:space="preserve">CKF360&gt;KKS205</t>
  </si>
  <si>
    <t xml:space="preserve">CKF360&gt;KKS250</t>
  </si>
  <si>
    <t xml:space="preserve">CKQ276&gt;CHD318</t>
  </si>
  <si>
    <t xml:space="preserve">CKQ276&gt;CHD358</t>
  </si>
  <si>
    <t xml:space="preserve">CKQ276&gt;CKF205</t>
  </si>
  <si>
    <t xml:space="preserve">CKQ276&gt;CKF227</t>
  </si>
  <si>
    <t xml:space="preserve">CKQ276&gt;CKF233</t>
  </si>
  <si>
    <t xml:space="preserve">CKQ276&gt;CKF250</t>
  </si>
  <si>
    <t xml:space="preserve">CKQ276&gt;CKF276</t>
  </si>
  <si>
    <t xml:space="preserve">CKQ276&gt;CKF285</t>
  </si>
  <si>
    <t xml:space="preserve">CKQ276&gt;CKF312</t>
  </si>
  <si>
    <t xml:space="preserve">CKQ276&gt;CKF332</t>
  </si>
  <si>
    <t xml:space="preserve">CKQ276&gt;CKF360</t>
  </si>
  <si>
    <t xml:space="preserve">CKQ276&gt;CKQ276</t>
  </si>
  <si>
    <t xml:space="preserve">CKQ276&gt;CKQ300</t>
  </si>
  <si>
    <t xml:space="preserve">CKQ276&gt;CNT210</t>
  </si>
  <si>
    <t xml:space="preserve">CKQ276&gt;CNT276</t>
  </si>
  <si>
    <t xml:space="preserve">CKQ276&gt;EWP175</t>
  </si>
  <si>
    <t xml:space="preserve">CKQ276&gt;EWP190</t>
  </si>
  <si>
    <t xml:space="preserve">CKQ276&gt;KKC205</t>
  </si>
  <si>
    <t xml:space="preserve">CKQ276&gt;KKC227</t>
  </si>
  <si>
    <t xml:space="preserve">CKQ276&gt;KKC233</t>
  </si>
  <si>
    <t xml:space="preserve">CKQ276&gt;KKC273</t>
  </si>
  <si>
    <t xml:space="preserve">CKQ276&gt;KKC290</t>
  </si>
  <si>
    <t xml:space="preserve">CKQ276&gt;KKL195</t>
  </si>
  <si>
    <t xml:space="preserve">CKQ276&gt;KKL205</t>
  </si>
  <si>
    <t xml:space="preserve">CKQ276&gt;KKL276</t>
  </si>
  <si>
    <t xml:space="preserve">CKQ276&gt;KKS205</t>
  </si>
  <si>
    <t xml:space="preserve">CKQ276&gt;KKS250</t>
  </si>
  <si>
    <t xml:space="preserve">CKQ300&gt;CHD318</t>
  </si>
  <si>
    <t xml:space="preserve">CKQ300&gt;CHD358</t>
  </si>
  <si>
    <t xml:space="preserve">CKQ300&gt;CKF205</t>
  </si>
  <si>
    <t xml:space="preserve">CKQ300&gt;CKF227</t>
  </si>
  <si>
    <t xml:space="preserve">CKQ300&gt;CKF233</t>
  </si>
  <si>
    <t xml:space="preserve">CKQ300&gt;CKF250</t>
  </si>
  <si>
    <t xml:space="preserve">CKQ300&gt;CKF276</t>
  </si>
  <si>
    <t xml:space="preserve">CKQ300&gt;CKF285</t>
  </si>
  <si>
    <t xml:space="preserve">CKQ300&gt;CKF312</t>
  </si>
  <si>
    <t xml:space="preserve">CKQ300&gt;CKF332</t>
  </si>
  <si>
    <t xml:space="preserve">CKQ300&gt;CKF360</t>
  </si>
  <si>
    <t xml:space="preserve">CKQ300&gt;CKQ276</t>
  </si>
  <si>
    <t xml:space="preserve">CKQ300&gt;CKQ300</t>
  </si>
  <si>
    <t xml:space="preserve">CKQ300&gt;CNT210</t>
  </si>
  <si>
    <t xml:space="preserve">CKQ300&gt;CNT276</t>
  </si>
  <si>
    <t xml:space="preserve">CKQ300&gt;EWP175</t>
  </si>
  <si>
    <t xml:space="preserve">CKQ300&gt;EWP190</t>
  </si>
  <si>
    <t xml:space="preserve">CKQ300&gt;K28150</t>
  </si>
  <si>
    <t xml:space="preserve">CKQ300&gt;KKC205</t>
  </si>
  <si>
    <t xml:space="preserve">CKQ300&gt;KKC227</t>
  </si>
  <si>
    <t xml:space="preserve">CKQ300&gt;KKC233</t>
  </si>
  <si>
    <t xml:space="preserve">CKQ300&gt;KKC273</t>
  </si>
  <si>
    <t xml:space="preserve">CKQ300&gt;KKC290</t>
  </si>
  <si>
    <t xml:space="preserve">CKQ300&gt;KKL205</t>
  </si>
  <si>
    <t xml:space="preserve">CKQ300&gt;KKL276</t>
  </si>
  <si>
    <t xml:space="preserve">CKQ300&gt;KKS205</t>
  </si>
  <si>
    <t xml:space="preserve">CKQ300&gt;KKS250</t>
  </si>
  <si>
    <t xml:space="preserve">CNT210&gt;CHD318</t>
  </si>
  <si>
    <t xml:space="preserve">CNT210&gt;CHD358</t>
  </si>
  <si>
    <t xml:space="preserve">CNT210&gt;CKF205</t>
  </si>
  <si>
    <t xml:space="preserve">CNT210&gt;CKF227</t>
  </si>
  <si>
    <t xml:space="preserve">CNT210&gt;CKF233</t>
  </si>
  <si>
    <t xml:space="preserve">CNT210&gt;CKF250</t>
  </si>
  <si>
    <t xml:space="preserve">CNT210&gt;CKF276</t>
  </si>
  <si>
    <t xml:space="preserve">CNT210&gt;CKF285</t>
  </si>
  <si>
    <t xml:space="preserve">CNT210&gt;CKF312</t>
  </si>
  <si>
    <t xml:space="preserve">CNT210&gt;CKF332</t>
  </si>
  <si>
    <t xml:space="preserve">CNT210&gt;CKF360</t>
  </si>
  <si>
    <t xml:space="preserve">CNT210&gt;CKQ276</t>
  </si>
  <si>
    <t xml:space="preserve">CNT210&gt;CKQ300</t>
  </si>
  <si>
    <t xml:space="preserve">CNT210&gt;CNT210</t>
  </si>
  <si>
    <t xml:space="preserve">CNT210&gt;CNT276</t>
  </si>
  <si>
    <t xml:space="preserve">CNT210&gt;EWP175</t>
  </si>
  <si>
    <t xml:space="preserve">CNT210&gt;EWP190</t>
  </si>
  <si>
    <t xml:space="preserve">CNT210&gt;KKC205</t>
  </si>
  <si>
    <t xml:space="preserve">CNT210&gt;KKC227</t>
  </si>
  <si>
    <t xml:space="preserve">CNT210&gt;KKC233</t>
  </si>
  <si>
    <t xml:space="preserve">CNT210&gt;KKC273</t>
  </si>
  <si>
    <t xml:space="preserve">CNT210&gt;KKC290</t>
  </si>
  <si>
    <t xml:space="preserve">CNT210&gt;KKL205</t>
  </si>
  <si>
    <t xml:space="preserve">CNT210&gt;KKL276</t>
  </si>
  <si>
    <t xml:space="preserve">CNT210&gt;KKS205</t>
  </si>
  <si>
    <t xml:space="preserve">CNT210&gt;KKS250</t>
  </si>
  <si>
    <t xml:space="preserve">CNT276&gt;KKC205</t>
  </si>
  <si>
    <t xml:space="preserve">EKW175&gt;CHD318</t>
  </si>
  <si>
    <t xml:space="preserve">EKW175&gt;CHD358</t>
  </si>
  <si>
    <t xml:space="preserve">EKW175&gt;CKF205</t>
  </si>
  <si>
    <t xml:space="preserve">EKW175&gt;CKF227</t>
  </si>
  <si>
    <t xml:space="preserve">EKW175&gt;CKF233</t>
  </si>
  <si>
    <t xml:space="preserve">EKW175&gt;CKF250</t>
  </si>
  <si>
    <t xml:space="preserve">EKW175&gt;CKF276</t>
  </si>
  <si>
    <t xml:space="preserve">EKW175&gt;CKF285</t>
  </si>
  <si>
    <t xml:space="preserve">EKW175&gt;CKF312</t>
  </si>
  <si>
    <t xml:space="preserve">EKW175&gt;CKF332</t>
  </si>
  <si>
    <t xml:space="preserve">EKW175&gt;CKF360</t>
  </si>
  <si>
    <t xml:space="preserve">EKW175&gt;CKQ276</t>
  </si>
  <si>
    <t xml:space="preserve">EKW175&gt;CKQ300</t>
  </si>
  <si>
    <t xml:space="preserve">EKW175&gt;CNT210</t>
  </si>
  <si>
    <t xml:space="preserve">EKW175&gt;CNT276</t>
  </si>
  <si>
    <t xml:space="preserve">EKW175&gt;EKW200</t>
  </si>
  <si>
    <t xml:space="preserve">EKW175&gt;EWP175</t>
  </si>
  <si>
    <t xml:space="preserve">EKW175&gt;EWP190</t>
  </si>
  <si>
    <t xml:space="preserve">EKW175&gt;K28150</t>
  </si>
  <si>
    <t xml:space="preserve">EKW175&gt;K28170</t>
  </si>
  <si>
    <t xml:space="preserve">EKW175&gt;KKC205</t>
  </si>
  <si>
    <t xml:space="preserve">EKW175&gt;KKC227</t>
  </si>
  <si>
    <t xml:space="preserve">EKW175&gt;KKC233</t>
  </si>
  <si>
    <t xml:space="preserve">EKW175&gt;KKC273</t>
  </si>
  <si>
    <t xml:space="preserve">EKW175&gt;KKC290</t>
  </si>
  <si>
    <t xml:space="preserve">EKW175&gt;KKL205</t>
  </si>
  <si>
    <t xml:space="preserve">EKW175&gt;KKL276</t>
  </si>
  <si>
    <t xml:space="preserve">EKW175&gt;KKS205</t>
  </si>
  <si>
    <t xml:space="preserve">EKW175&gt;KKS250</t>
  </si>
  <si>
    <t xml:space="preserve">EKW175&gt;LLE170</t>
  </si>
  <si>
    <t xml:space="preserve">EKW175&gt;LWE200</t>
  </si>
  <si>
    <t xml:space="preserve">EKW200&gt;CKF205</t>
  </si>
  <si>
    <t xml:space="preserve">EKW200&gt;EKW175</t>
  </si>
  <si>
    <t xml:space="preserve">EKW200&gt;K28150</t>
  </si>
  <si>
    <t xml:space="preserve">EKW200&gt;K28170</t>
  </si>
  <si>
    <t xml:space="preserve">EKW200&gt;K28200</t>
  </si>
  <si>
    <t xml:space="preserve">EKW200&gt;LLE170</t>
  </si>
  <si>
    <t xml:space="preserve">EKW200&gt;LLE200</t>
  </si>
  <si>
    <t xml:space="preserve">EWC175&gt;CHD318</t>
  </si>
  <si>
    <t xml:space="preserve">EWC175&gt;CHD358</t>
  </si>
  <si>
    <t xml:space="preserve">EWC175&gt;CKF205</t>
  </si>
  <si>
    <t xml:space="preserve">EWC175&gt;CKF227</t>
  </si>
  <si>
    <t xml:space="preserve">EWC175&gt;CKF233</t>
  </si>
  <si>
    <t xml:space="preserve">EWC175&gt;CKF250</t>
  </si>
  <si>
    <t xml:space="preserve">EWC175&gt;CKF276</t>
  </si>
  <si>
    <t xml:space="preserve">EWC175&gt;CKF285</t>
  </si>
  <si>
    <t xml:space="preserve">EWC175&gt;CKF312</t>
  </si>
  <si>
    <t xml:space="preserve">EWC175&gt;CKF332</t>
  </si>
  <si>
    <t xml:space="preserve">EWC175&gt;CKF360</t>
  </si>
  <si>
    <t xml:space="preserve">EWC175&gt;CKQ276</t>
  </si>
  <si>
    <t xml:space="preserve">EWC175&gt;CKQ300</t>
  </si>
  <si>
    <t xml:space="preserve">EWC175&gt;CNT210</t>
  </si>
  <si>
    <t xml:space="preserve">EWC175&gt;CNT276</t>
  </si>
  <si>
    <t xml:space="preserve">EWC175&gt;EKW175</t>
  </si>
  <si>
    <t xml:space="preserve">EWC175&gt;EKW200</t>
  </si>
  <si>
    <t xml:space="preserve">EWC175&gt;EWC175</t>
  </si>
  <si>
    <t xml:space="preserve">EWC175&gt;EWC190</t>
  </si>
  <si>
    <t xml:space="preserve">EWC175&gt;EWP175</t>
  </si>
  <si>
    <t xml:space="preserve">EWC175&gt;EWP190</t>
  </si>
  <si>
    <t xml:space="preserve">EWC175&gt;K28135</t>
  </si>
  <si>
    <t xml:space="preserve">EWC175&gt;K28150</t>
  </si>
  <si>
    <t xml:space="preserve">EWC175&gt;K28170</t>
  </si>
  <si>
    <t xml:space="preserve">EWC175&gt;K28200</t>
  </si>
  <si>
    <t xml:space="preserve">EWC175&gt;KKC205</t>
  </si>
  <si>
    <t xml:space="preserve">EWC175&gt;KKC227</t>
  </si>
  <si>
    <t xml:space="preserve">EWC175&gt;KKC233</t>
  </si>
  <si>
    <t xml:space="preserve">EWC175&gt;KKC273</t>
  </si>
  <si>
    <t xml:space="preserve">EWC175&gt;KKC290</t>
  </si>
  <si>
    <t xml:space="preserve">EWC175&gt;KKL205</t>
  </si>
  <si>
    <t xml:space="preserve">EWC175&gt;KKL276</t>
  </si>
  <si>
    <t xml:space="preserve">EWC175&gt;KKS205</t>
  </si>
  <si>
    <t xml:space="preserve">EWC175&gt;KKS250</t>
  </si>
  <si>
    <t xml:space="preserve">EWC175&gt;LLE150</t>
  </si>
  <si>
    <t xml:space="preserve">EWC175&gt;LWE175</t>
  </si>
  <si>
    <t xml:space="preserve">EWC190&gt;CHD318</t>
  </si>
  <si>
    <t xml:space="preserve">EWC190&gt;EKW175</t>
  </si>
  <si>
    <t xml:space="preserve">EWC190&gt;EWC175</t>
  </si>
  <si>
    <t xml:space="preserve">EWC190&gt;EWC190</t>
  </si>
  <si>
    <t xml:space="preserve">EWC190&gt;EWP190</t>
  </si>
  <si>
    <t xml:space="preserve">EWC190&gt;K28135</t>
  </si>
  <si>
    <t xml:space="preserve">EWC190&gt;K28150</t>
  </si>
  <si>
    <t xml:space="preserve">EWC190&gt;K28170</t>
  </si>
  <si>
    <t xml:space="preserve">EWC190&gt;K28200</t>
  </si>
  <si>
    <t xml:space="preserve">EWC190&gt;KKC205</t>
  </si>
  <si>
    <t xml:space="preserve">EWC190&gt;LWE175</t>
  </si>
  <si>
    <t xml:space="preserve">EWP175&gt;CHD318</t>
  </si>
  <si>
    <t xml:space="preserve">EWP175&gt;CHD358</t>
  </si>
  <si>
    <t xml:space="preserve">EWP175&gt;CKF205</t>
  </si>
  <si>
    <t xml:space="preserve">EWP175&gt;CKF227</t>
  </si>
  <si>
    <t xml:space="preserve">EWP175&gt;CKF233</t>
  </si>
  <si>
    <t xml:space="preserve">EWP175&gt;CKF250</t>
  </si>
  <si>
    <t xml:space="preserve">EWP175&gt;CKF276</t>
  </si>
  <si>
    <t xml:space="preserve">EWP175&gt;CKF285</t>
  </si>
  <si>
    <t xml:space="preserve">EWP175&gt;CKF312</t>
  </si>
  <si>
    <t xml:space="preserve">EWP175&gt;CKF332</t>
  </si>
  <si>
    <t xml:space="preserve">EWP175&gt;CKF360</t>
  </si>
  <si>
    <t xml:space="preserve">EWP175&gt;CKQ276</t>
  </si>
  <si>
    <t xml:space="preserve">EWP175&gt;CKQ300</t>
  </si>
  <si>
    <t xml:space="preserve">EWP175&gt;CNT210</t>
  </si>
  <si>
    <t xml:space="preserve">EWP175&gt;CNT276</t>
  </si>
  <si>
    <t xml:space="preserve">EWP175&gt;EWP175</t>
  </si>
  <si>
    <t xml:space="preserve">EWP175&gt;EWP190</t>
  </si>
  <si>
    <t xml:space="preserve">EWP175&gt;KKC205</t>
  </si>
  <si>
    <t xml:space="preserve">EWP175&gt;KKC227</t>
  </si>
  <si>
    <t xml:space="preserve">EWP175&gt;KKC233</t>
  </si>
  <si>
    <t xml:space="preserve">EWP175&gt;KKC273</t>
  </si>
  <si>
    <t xml:space="preserve">EWP175&gt;KKC290</t>
  </si>
  <si>
    <t xml:space="preserve">EWP175&gt;KKL205</t>
  </si>
  <si>
    <t xml:space="preserve">EWP175&gt;KKL276</t>
  </si>
  <si>
    <t xml:space="preserve">EWP175&gt;KKS205</t>
  </si>
  <si>
    <t xml:space="preserve">EWP175&gt;KKS250</t>
  </si>
  <si>
    <t xml:space="preserve">EWP190&gt;CHD318</t>
  </si>
  <si>
    <t xml:space="preserve">EWP190&gt;CHD358</t>
  </si>
  <si>
    <t xml:space="preserve">EWP190&gt;CKF205</t>
  </si>
  <si>
    <t xml:space="preserve">EWP190&gt;CKF227</t>
  </si>
  <si>
    <t xml:space="preserve">EWP190&gt;CKF233</t>
  </si>
  <si>
    <t xml:space="preserve">EWP190&gt;CKF250</t>
  </si>
  <si>
    <t xml:space="preserve">EWP190&gt;CKF276</t>
  </si>
  <si>
    <t xml:space="preserve">EWP190&gt;CKF285</t>
  </si>
  <si>
    <t xml:space="preserve">EWP190&gt;CKF312</t>
  </si>
  <si>
    <t xml:space="preserve">EWP190&gt;CKF332</t>
  </si>
  <si>
    <t xml:space="preserve">EWP190&gt;CKF360</t>
  </si>
  <si>
    <t xml:space="preserve">EWP190&gt;CKQ276</t>
  </si>
  <si>
    <t xml:space="preserve">EWP190&gt;CKQ300</t>
  </si>
  <si>
    <t xml:space="preserve">EWP190&gt;CNT210</t>
  </si>
  <si>
    <t xml:space="preserve">EWP190&gt;CNT276</t>
  </si>
  <si>
    <t xml:space="preserve">EWP190&gt;EKW175</t>
  </si>
  <si>
    <t xml:space="preserve">EWP190&gt;EWC175</t>
  </si>
  <si>
    <t xml:space="preserve">EWP190&gt;EWC190</t>
  </si>
  <si>
    <t xml:space="preserve">EWP190&gt;EWP175</t>
  </si>
  <si>
    <t xml:space="preserve">EWP190&gt;EWP190</t>
  </si>
  <si>
    <t xml:space="preserve">EWP190&gt;K28170</t>
  </si>
  <si>
    <t xml:space="preserve">EWP190&gt;K28200</t>
  </si>
  <si>
    <t xml:space="preserve">EWP190&gt;KKC205</t>
  </si>
  <si>
    <t xml:space="preserve">EWP190&gt;KKC227</t>
  </si>
  <si>
    <t xml:space="preserve">EWP190&gt;KKC233</t>
  </si>
  <si>
    <t xml:space="preserve">EWP190&gt;KKC273</t>
  </si>
  <si>
    <t xml:space="preserve">EWP190&gt;KKC290</t>
  </si>
  <si>
    <t xml:space="preserve">EWP190&gt;KKL195</t>
  </si>
  <si>
    <t xml:space="preserve">EWP190&gt;KKL205</t>
  </si>
  <si>
    <t xml:space="preserve">EWP190&gt;KKL276</t>
  </si>
  <si>
    <t xml:space="preserve">EWP190&gt;KKS195</t>
  </si>
  <si>
    <t xml:space="preserve">EWP190&gt;KKS205</t>
  </si>
  <si>
    <t xml:space="preserve">EWP190&gt;KKS250</t>
  </si>
  <si>
    <t xml:space="preserve">EWP190&gt;LLE200</t>
  </si>
  <si>
    <t xml:space="preserve">EWP190&gt;WTP250</t>
  </si>
  <si>
    <t xml:space="preserve">K28135&gt;CHD318</t>
  </si>
  <si>
    <t xml:space="preserve">K28135&gt;CHD358</t>
  </si>
  <si>
    <t xml:space="preserve">K28135&gt;CKF205</t>
  </si>
  <si>
    <t xml:space="preserve">K28135&gt;CKF227</t>
  </si>
  <si>
    <t xml:space="preserve">K28135&gt;CKF233</t>
  </si>
  <si>
    <t xml:space="preserve">K28135&gt;CKF250</t>
  </si>
  <si>
    <t xml:space="preserve">K28135&gt;CKF276</t>
  </si>
  <si>
    <t xml:space="preserve">K28135&gt;CKF285</t>
  </si>
  <si>
    <t xml:space="preserve">K28135&gt;CKF312</t>
  </si>
  <si>
    <t xml:space="preserve">K28135&gt;CKF332</t>
  </si>
  <si>
    <t xml:space="preserve">K28135&gt;CKF360</t>
  </si>
  <si>
    <t xml:space="preserve">K28135&gt;CKQ276</t>
  </si>
  <si>
    <t xml:space="preserve">K28135&gt;CKQ300</t>
  </si>
  <si>
    <t xml:space="preserve">K28135&gt;CNT210</t>
  </si>
  <si>
    <t xml:space="preserve">K28135&gt;CNT276</t>
  </si>
  <si>
    <t xml:space="preserve">K28135&gt;EWC175</t>
  </si>
  <si>
    <t xml:space="preserve">K28135&gt;EWC190</t>
  </si>
  <si>
    <t xml:space="preserve">K28135&gt;EWP175</t>
  </si>
  <si>
    <t xml:space="preserve">K28135&gt;EWP190</t>
  </si>
  <si>
    <t xml:space="preserve">K28135&gt;K28135</t>
  </si>
  <si>
    <t xml:space="preserve">K28135&gt;K28150</t>
  </si>
  <si>
    <t xml:space="preserve">K28135&gt;K28170</t>
  </si>
  <si>
    <t xml:space="preserve">K28135&gt;K28200</t>
  </si>
  <si>
    <t xml:space="preserve">K28135&gt;KKC205</t>
  </si>
  <si>
    <t xml:space="preserve">K28135&gt;KKC227</t>
  </si>
  <si>
    <t xml:space="preserve">K28135&gt;KKC233</t>
  </si>
  <si>
    <t xml:space="preserve">K28135&gt;KKC273</t>
  </si>
  <si>
    <t xml:space="preserve">K28135&gt;KKC290</t>
  </si>
  <si>
    <t xml:space="preserve">K28135&gt;KKL205</t>
  </si>
  <si>
    <t xml:space="preserve">K28135&gt;KKL276</t>
  </si>
  <si>
    <t xml:space="preserve">K28135&gt;KKS205</t>
  </si>
  <si>
    <t xml:space="preserve">K28135&gt;KKS250</t>
  </si>
  <si>
    <t xml:space="preserve">K28135&gt;LWE175</t>
  </si>
  <si>
    <t xml:space="preserve">K28150&gt;CHD318</t>
  </si>
  <si>
    <t xml:space="preserve">K28150&gt;CHD358</t>
  </si>
  <si>
    <t xml:space="preserve">K28150&gt;CKF205</t>
  </si>
  <si>
    <t xml:space="preserve">K28150&gt;CKF227</t>
  </si>
  <si>
    <t xml:space="preserve">K28150&gt;CKF233</t>
  </si>
  <si>
    <t xml:space="preserve">K28150&gt;CKF250</t>
  </si>
  <si>
    <t xml:space="preserve">K28150&gt;CKF276</t>
  </si>
  <si>
    <t xml:space="preserve">K28150&gt;CKF285</t>
  </si>
  <si>
    <t xml:space="preserve">K28150&gt;CKF312</t>
  </si>
  <si>
    <t xml:space="preserve">K28150&gt;CKF332</t>
  </si>
  <si>
    <t xml:space="preserve">K28150&gt;CKF360</t>
  </si>
  <si>
    <t xml:space="preserve">K28150&gt;CKQ276</t>
  </si>
  <si>
    <t xml:space="preserve">K28150&gt;CKQ300</t>
  </si>
  <si>
    <t xml:space="preserve">K28150&gt;CNT210</t>
  </si>
  <si>
    <t xml:space="preserve">K28150&gt;CNT276</t>
  </si>
  <si>
    <t xml:space="preserve">K28150&gt;EKW175</t>
  </si>
  <si>
    <t xml:space="preserve">K28150&gt;EKW200</t>
  </si>
  <si>
    <t xml:space="preserve">K28150&gt;EWC175</t>
  </si>
  <si>
    <t xml:space="preserve">K28150&gt;EWC190</t>
  </si>
  <si>
    <t xml:space="preserve">K28150&gt;EWP175</t>
  </si>
  <si>
    <t xml:space="preserve">K28150&gt;EWP190</t>
  </si>
  <si>
    <t xml:space="preserve">K28150&gt;K28135</t>
  </si>
  <si>
    <t xml:space="preserve">K28150&gt;K28150</t>
  </si>
  <si>
    <t xml:space="preserve">K28150&gt;K28170</t>
  </si>
  <si>
    <t xml:space="preserve">K28150&gt;K28200</t>
  </si>
  <si>
    <t xml:space="preserve">K28150&gt;K28240</t>
  </si>
  <si>
    <t xml:space="preserve">K28150&gt;KKC205</t>
  </si>
  <si>
    <t xml:space="preserve">K28150&gt;KKC227</t>
  </si>
  <si>
    <t xml:space="preserve">K28150&gt;KKC233</t>
  </si>
  <si>
    <t xml:space="preserve">K28150&gt;KKC273</t>
  </si>
  <si>
    <t xml:space="preserve">K28150&gt;KKC290</t>
  </si>
  <si>
    <t xml:space="preserve">K28150&gt;KKL205</t>
  </si>
  <si>
    <t xml:space="preserve">K28150&gt;KKL276</t>
  </si>
  <si>
    <t xml:space="preserve">K28150&gt;KKS205</t>
  </si>
  <si>
    <t xml:space="preserve">K28150&gt;KKS250</t>
  </si>
  <si>
    <t xml:space="preserve">K28150&gt;LBS170</t>
  </si>
  <si>
    <t xml:space="preserve">K28150&gt;LLE150</t>
  </si>
  <si>
    <t xml:space="preserve">K28150&gt;LLE200</t>
  </si>
  <si>
    <t xml:space="preserve">K28150&gt;LWE175</t>
  </si>
  <si>
    <t xml:space="preserve">K28170&gt;CHD318</t>
  </si>
  <si>
    <t xml:space="preserve">K28170&gt;CHD358</t>
  </si>
  <si>
    <t xml:space="preserve">K28170&gt;CKF205</t>
  </si>
  <si>
    <t xml:space="preserve">K28170&gt;CKF227</t>
  </si>
  <si>
    <t xml:space="preserve">K28170&gt;CKF233</t>
  </si>
  <si>
    <t xml:space="preserve">K28170&gt;CKF250</t>
  </si>
  <si>
    <t xml:space="preserve">K28170&gt;CKF276</t>
  </si>
  <si>
    <t xml:space="preserve">K28170&gt;CKF285</t>
  </si>
  <si>
    <t xml:space="preserve">K28170&gt;CKF312</t>
  </si>
  <si>
    <t xml:space="preserve">K28170&gt;CKF332</t>
  </si>
  <si>
    <t xml:space="preserve">K28170&gt;CKF360</t>
  </si>
  <si>
    <t xml:space="preserve">K28170&gt;CKQ276</t>
  </si>
  <si>
    <t xml:space="preserve">K28170&gt;CKQ300</t>
  </si>
  <si>
    <t xml:space="preserve">K28170&gt;CNT210</t>
  </si>
  <si>
    <t xml:space="preserve">K28170&gt;CNT276</t>
  </si>
  <si>
    <t xml:space="preserve">K28170&gt;EKW175</t>
  </si>
  <si>
    <t xml:space="preserve">K28170&gt;EKW200</t>
  </si>
  <si>
    <t xml:space="preserve">K28170&gt;EWC175</t>
  </si>
  <si>
    <t xml:space="preserve">K28170&gt;EWC190</t>
  </si>
  <si>
    <t xml:space="preserve">K28170&gt;EWP175</t>
  </si>
  <si>
    <t xml:space="preserve">K28170&gt;EWP190</t>
  </si>
  <si>
    <t xml:space="preserve">K28170&gt;K28135</t>
  </si>
  <si>
    <t xml:space="preserve">K28170&gt;K28150</t>
  </si>
  <si>
    <t xml:space="preserve">K28170&gt;K28170</t>
  </si>
  <si>
    <t xml:space="preserve">K28170&gt;K28200</t>
  </si>
  <si>
    <t xml:space="preserve">K28170&gt;K28240</t>
  </si>
  <si>
    <t xml:space="preserve">K28170&gt;K28280</t>
  </si>
  <si>
    <t xml:space="preserve">K28170&gt;KKC205</t>
  </si>
  <si>
    <t xml:space="preserve">K28170&gt;KKC227</t>
  </si>
  <si>
    <t xml:space="preserve">K28170&gt;KKC233</t>
  </si>
  <si>
    <t xml:space="preserve">K28170&gt;KKC273</t>
  </si>
  <si>
    <t xml:space="preserve">K28170&gt;KKC290</t>
  </si>
  <si>
    <t xml:space="preserve">K28170&gt;KKL195</t>
  </si>
  <si>
    <t xml:space="preserve">K28170&gt;KKL205</t>
  </si>
  <si>
    <t xml:space="preserve">K28170&gt;KKL276</t>
  </si>
  <si>
    <t xml:space="preserve">K28170&gt;KKS205</t>
  </si>
  <si>
    <t xml:space="preserve">K28170&gt;KKS250</t>
  </si>
  <si>
    <t xml:space="preserve">K28170&gt;LBS170</t>
  </si>
  <si>
    <t xml:space="preserve">K28170&gt;LLE150</t>
  </si>
  <si>
    <t xml:space="preserve">K28170&gt;LLE170</t>
  </si>
  <si>
    <t xml:space="preserve">K28170&gt;LWE175</t>
  </si>
  <si>
    <t xml:space="preserve">K28200&gt;CHD318</t>
  </si>
  <si>
    <t xml:space="preserve">K28200&gt;CHD358</t>
  </si>
  <si>
    <t xml:space="preserve">K28200&gt;CKF205</t>
  </si>
  <si>
    <t xml:space="preserve">K28200&gt;CKF227</t>
  </si>
  <si>
    <t xml:space="preserve">K28200&gt;CKF233</t>
  </si>
  <si>
    <t xml:space="preserve">K28200&gt;CKF250</t>
  </si>
  <si>
    <t xml:space="preserve">K28200&gt;CKF276</t>
  </si>
  <si>
    <t xml:space="preserve">K28200&gt;CKF285</t>
  </si>
  <si>
    <t xml:space="preserve">K28200&gt;CKF312</t>
  </si>
  <si>
    <t xml:space="preserve">K28200&gt;CKF332</t>
  </si>
  <si>
    <t xml:space="preserve">K28200&gt;CKF360</t>
  </si>
  <si>
    <t xml:space="preserve">K28200&gt;CKQ276</t>
  </si>
  <si>
    <t xml:space="preserve">K28200&gt;CKQ300</t>
  </si>
  <si>
    <t xml:space="preserve">K28200&gt;CNT210</t>
  </si>
  <si>
    <t xml:space="preserve">K28200&gt;CNT276</t>
  </si>
  <si>
    <t xml:space="preserve">K28200&gt;EKW175</t>
  </si>
  <si>
    <t xml:space="preserve">K28200&gt;EKW200</t>
  </si>
  <si>
    <t xml:space="preserve">K28200&gt;EWC175</t>
  </si>
  <si>
    <t xml:space="preserve">K28200&gt;EWC190</t>
  </si>
  <si>
    <t xml:space="preserve">K28200&gt;EWP175</t>
  </si>
  <si>
    <t xml:space="preserve">K28200&gt;EWP190</t>
  </si>
  <si>
    <t xml:space="preserve">K28200&gt;K28135</t>
  </si>
  <si>
    <t xml:space="preserve">K28200&gt;K28150</t>
  </si>
  <si>
    <t xml:space="preserve">K28200&gt;K28170</t>
  </si>
  <si>
    <t xml:space="preserve">K28200&gt;K28200</t>
  </si>
  <si>
    <t xml:space="preserve">K28200&gt;K28240</t>
  </si>
  <si>
    <t xml:space="preserve">K28200&gt;KKC205</t>
  </si>
  <si>
    <t xml:space="preserve">K28200&gt;KKC227</t>
  </si>
  <si>
    <t xml:space="preserve">K28200&gt;KKC233</t>
  </si>
  <si>
    <t xml:space="preserve">K28200&gt;KKC273</t>
  </si>
  <si>
    <t xml:space="preserve">K28200&gt;KKC290</t>
  </si>
  <si>
    <t xml:space="preserve">K28200&gt;KKL195</t>
  </si>
  <si>
    <t xml:space="preserve">K28200&gt;KKL205</t>
  </si>
  <si>
    <t xml:space="preserve">K28200&gt;KKL276</t>
  </si>
  <si>
    <t xml:space="preserve">K28200&gt;KKS205</t>
  </si>
  <si>
    <t xml:space="preserve">K28200&gt;KKS250</t>
  </si>
  <si>
    <t xml:space="preserve">K28200&gt;LLE150</t>
  </si>
  <si>
    <t xml:space="preserve">K28200&gt;LLE170</t>
  </si>
  <si>
    <t xml:space="preserve">K28200&gt;LLE200</t>
  </si>
  <si>
    <t xml:space="preserve">K28200&gt;LWE175</t>
  </si>
  <si>
    <t xml:space="preserve">K28200&gt;WCP215</t>
  </si>
  <si>
    <t xml:space="preserve">K28240&gt;K28170</t>
  </si>
  <si>
    <t xml:space="preserve">K28240&gt;K28200</t>
  </si>
  <si>
    <t xml:space="preserve">K28240&gt;K28280</t>
  </si>
  <si>
    <t xml:space="preserve">K28240&gt;LLE240</t>
  </si>
  <si>
    <t xml:space="preserve">K28280&gt;K28150</t>
  </si>
  <si>
    <t xml:space="preserve">K28280&gt;K28170</t>
  </si>
  <si>
    <t xml:space="preserve">K28280&gt;K28200</t>
  </si>
  <si>
    <t xml:space="preserve">K28280&gt;K28280</t>
  </si>
  <si>
    <t xml:space="preserve">K28280&gt;K28320</t>
  </si>
  <si>
    <t xml:space="preserve">K28280&gt;LBS170</t>
  </si>
  <si>
    <t xml:space="preserve">K28320&gt;K28200</t>
  </si>
  <si>
    <t xml:space="preserve">KKC205&gt;CHD318</t>
  </si>
  <si>
    <t xml:space="preserve">KKC205&gt;CHD358</t>
  </si>
  <si>
    <t xml:space="preserve">KKC205&gt;CKF205</t>
  </si>
  <si>
    <t xml:space="preserve">KKC205&gt;CKF227</t>
  </si>
  <si>
    <t xml:space="preserve">KKC205&gt;CKF233</t>
  </si>
  <si>
    <t xml:space="preserve">KKC205&gt;CKF250</t>
  </si>
  <si>
    <t xml:space="preserve">KKC205&gt;CKF276</t>
  </si>
  <si>
    <t xml:space="preserve">KKC205&gt;CKF285</t>
  </si>
  <si>
    <t xml:space="preserve">KKC205&gt;CKF312</t>
  </si>
  <si>
    <t xml:space="preserve">KKC205&gt;CKF332</t>
  </si>
  <si>
    <t xml:space="preserve">KKC205&gt;CKF360</t>
  </si>
  <si>
    <t xml:space="preserve">KKC205&gt;CKQ276</t>
  </si>
  <si>
    <t xml:space="preserve">KKC205&gt;CKQ300</t>
  </si>
  <si>
    <t xml:space="preserve">KKC205&gt;CNT210</t>
  </si>
  <si>
    <t xml:space="preserve">KKC205&gt;CNT276</t>
  </si>
  <si>
    <t xml:space="preserve">KKC205&gt;EWP175</t>
  </si>
  <si>
    <t xml:space="preserve">KKC205&gt;EWP190</t>
  </si>
  <si>
    <t xml:space="preserve">KKC205&gt;KKC205</t>
  </si>
  <si>
    <t xml:space="preserve">KKC205&gt;KKC227</t>
  </si>
  <si>
    <t xml:space="preserve">KKC205&gt;KKC233</t>
  </si>
  <si>
    <t xml:space="preserve">KKC205&gt;KKC273</t>
  </si>
  <si>
    <t xml:space="preserve">KKC205&gt;KKC290</t>
  </si>
  <si>
    <t xml:space="preserve">KKC205&gt;KKL205</t>
  </si>
  <si>
    <t xml:space="preserve">KKC205&gt;KKL276</t>
  </si>
  <si>
    <t xml:space="preserve">KKC205&gt;KKS205</t>
  </si>
  <si>
    <t xml:space="preserve">KKC205&gt;KKS250</t>
  </si>
  <si>
    <t xml:space="preserve">KKC227&gt;CHD318</t>
  </si>
  <si>
    <t xml:space="preserve">KKC227&gt;CHD358</t>
  </si>
  <si>
    <t xml:space="preserve">KKC227&gt;CKF205</t>
  </si>
  <si>
    <t xml:space="preserve">KKC227&gt;CKF227</t>
  </si>
  <si>
    <t xml:space="preserve">KKC227&gt;CKF233</t>
  </si>
  <si>
    <t xml:space="preserve">KKC227&gt;CKF250</t>
  </si>
  <si>
    <t xml:space="preserve">KKC227&gt;CKF276</t>
  </si>
  <si>
    <t xml:space="preserve">KKC227&gt;CKF285</t>
  </si>
  <si>
    <t xml:space="preserve">KKC227&gt;CKF312</t>
  </si>
  <si>
    <t xml:space="preserve">KKC227&gt;CKF332</t>
  </si>
  <si>
    <t xml:space="preserve">KKC227&gt;CKF360</t>
  </si>
  <si>
    <t xml:space="preserve">KKC227&gt;CKQ276</t>
  </si>
  <si>
    <t xml:space="preserve">KKC227&gt;CKQ300</t>
  </si>
  <si>
    <t xml:space="preserve">KKC227&gt;CNT210</t>
  </si>
  <si>
    <t xml:space="preserve">KKC227&gt;CNT276</t>
  </si>
  <si>
    <t xml:space="preserve">KKC227&gt;EWP175</t>
  </si>
  <si>
    <t xml:space="preserve">KKC227&gt;EWP190</t>
  </si>
  <si>
    <t xml:space="preserve">KKC227&gt;KKC205</t>
  </si>
  <si>
    <t xml:space="preserve">KKC227&gt;KKC227</t>
  </si>
  <si>
    <t xml:space="preserve">KKC227&gt;KKC233</t>
  </si>
  <si>
    <t xml:space="preserve">KKC227&gt;KKC273</t>
  </si>
  <si>
    <t xml:space="preserve">KKC227&gt;KKC290</t>
  </si>
  <si>
    <t xml:space="preserve">KKC227&gt;KKL205</t>
  </si>
  <si>
    <t xml:space="preserve">KKC227&gt;KKL276</t>
  </si>
  <si>
    <t xml:space="preserve">KKC227&gt;KKS205</t>
  </si>
  <si>
    <t xml:space="preserve">KKC227&gt;KKS250</t>
  </si>
  <si>
    <t xml:space="preserve">KKC233&gt;CHD318</t>
  </si>
  <si>
    <t xml:space="preserve">KKC233&gt;CHD358</t>
  </si>
  <si>
    <t xml:space="preserve">KKC233&gt;CKF205</t>
  </si>
  <si>
    <t xml:space="preserve">KKC233&gt;CKF227</t>
  </si>
  <si>
    <t xml:space="preserve">KKC233&gt;CKF233</t>
  </si>
  <si>
    <t xml:space="preserve">KKC233&gt;CKF250</t>
  </si>
  <si>
    <t xml:space="preserve">KKC233&gt;CKF276</t>
  </si>
  <si>
    <t xml:space="preserve">KKC233&gt;CKF285</t>
  </si>
  <si>
    <t xml:space="preserve">KKC233&gt;CKF312</t>
  </si>
  <si>
    <t xml:space="preserve">KKC233&gt;CKF332</t>
  </si>
  <si>
    <t xml:space="preserve">KKC233&gt;CKF360</t>
  </si>
  <si>
    <t xml:space="preserve">KKC233&gt;CKQ276</t>
  </si>
  <si>
    <t xml:space="preserve">KKC233&gt;CKQ300</t>
  </si>
  <si>
    <t xml:space="preserve">KKC233&gt;CNT210</t>
  </si>
  <si>
    <t xml:space="preserve">KKC233&gt;CNT276</t>
  </si>
  <si>
    <t xml:space="preserve">KKC233&gt;EWP175</t>
  </si>
  <si>
    <t xml:space="preserve">KKC233&gt;EWP190</t>
  </si>
  <si>
    <t xml:space="preserve">KKC233&gt;KKC205</t>
  </si>
  <si>
    <t xml:space="preserve">KKC233&gt;KKC227</t>
  </si>
  <si>
    <t xml:space="preserve">KKC233&gt;KKC233</t>
  </si>
  <si>
    <t xml:space="preserve">KKC233&gt;KKC273</t>
  </si>
  <si>
    <t xml:space="preserve">KKC233&gt;KKC290</t>
  </si>
  <si>
    <t xml:space="preserve">KKC233&gt;KKL205</t>
  </si>
  <si>
    <t xml:space="preserve">KKC233&gt;KKL276</t>
  </si>
  <si>
    <t xml:space="preserve">KKC233&gt;KKS205</t>
  </si>
  <si>
    <t xml:space="preserve">KKC233&gt;KKS250</t>
  </si>
  <si>
    <t xml:space="preserve">KKC273&gt;CHD318</t>
  </si>
  <si>
    <t xml:space="preserve">KKC273&gt;CHD358</t>
  </si>
  <si>
    <t xml:space="preserve">KKC273&gt;CKF205</t>
  </si>
  <si>
    <t xml:space="preserve">KKC273&gt;CKF227</t>
  </si>
  <si>
    <t xml:space="preserve">KKC273&gt;CKF233</t>
  </si>
  <si>
    <t xml:space="preserve">KKC273&gt;CKF250</t>
  </si>
  <si>
    <t xml:space="preserve">KKC273&gt;CKF276</t>
  </si>
  <si>
    <t xml:space="preserve">KKC273&gt;CKF285</t>
  </si>
  <si>
    <t xml:space="preserve">KKC273&gt;CKF312</t>
  </si>
  <si>
    <t xml:space="preserve">KKC273&gt;CKF332</t>
  </si>
  <si>
    <t xml:space="preserve">KKC273&gt;CKF360</t>
  </si>
  <si>
    <t xml:space="preserve">KKC273&gt;CKQ276</t>
  </si>
  <si>
    <t xml:space="preserve">KKC273&gt;CKQ300</t>
  </si>
  <si>
    <t xml:space="preserve">KKC273&gt;CNT210</t>
  </si>
  <si>
    <t xml:space="preserve">KKC273&gt;CNT276</t>
  </si>
  <si>
    <t xml:space="preserve">KKC273&gt;EWC175</t>
  </si>
  <si>
    <t xml:space="preserve">KKC273&gt;EWP175</t>
  </si>
  <si>
    <t xml:space="preserve">KKC273&gt;EWP190</t>
  </si>
  <si>
    <t xml:space="preserve">KKC273&gt;KKC205</t>
  </si>
  <si>
    <t xml:space="preserve">KKC273&gt;KKC227</t>
  </si>
  <si>
    <t xml:space="preserve">KKC273&gt;KKC233</t>
  </si>
  <si>
    <t xml:space="preserve">KKC273&gt;KKC273</t>
  </si>
  <si>
    <t xml:space="preserve">KKC273&gt;KKC290</t>
  </si>
  <si>
    <t xml:space="preserve">KKC273&gt;KKL205</t>
  </si>
  <si>
    <t xml:space="preserve">KKC273&gt;KKL276</t>
  </si>
  <si>
    <t xml:space="preserve">KKC273&gt;KKS205</t>
  </si>
  <si>
    <t xml:space="preserve">KKC273&gt;KKS250</t>
  </si>
  <si>
    <t xml:space="preserve">KKC290&gt;CHD318</t>
  </si>
  <si>
    <t xml:space="preserve">KKC290&gt;CHD358</t>
  </si>
  <si>
    <t xml:space="preserve">KKC290&gt;CKF205</t>
  </si>
  <si>
    <t xml:space="preserve">KKC290&gt;CKF227</t>
  </si>
  <si>
    <t xml:space="preserve">KKC290&gt;CKF233</t>
  </si>
  <si>
    <t xml:space="preserve">KKC290&gt;CKF250</t>
  </si>
  <si>
    <t xml:space="preserve">KKC290&gt;CKF276</t>
  </si>
  <si>
    <t xml:space="preserve">KKC290&gt;CKF285</t>
  </si>
  <si>
    <t xml:space="preserve">KKC290&gt;CKF312</t>
  </si>
  <si>
    <t xml:space="preserve">KKC290&gt;CKF332</t>
  </si>
  <si>
    <t xml:space="preserve">KKC290&gt;CKF360</t>
  </si>
  <si>
    <t xml:space="preserve">KKC290&gt;CKQ276</t>
  </si>
  <si>
    <t xml:space="preserve">KKC290&gt;CKQ300</t>
  </si>
  <si>
    <t xml:space="preserve">KKC290&gt;CNT210</t>
  </si>
  <si>
    <t xml:space="preserve">KKC290&gt;CNT276</t>
  </si>
  <si>
    <t xml:space="preserve">KKC290&gt;EWP175</t>
  </si>
  <si>
    <t xml:space="preserve">KKC290&gt;EWP190</t>
  </si>
  <si>
    <t xml:space="preserve">KKC290&gt;KKC205</t>
  </si>
  <si>
    <t xml:space="preserve">KKC290&gt;KKC227</t>
  </si>
  <si>
    <t xml:space="preserve">KKC290&gt;KKC233</t>
  </si>
  <si>
    <t xml:space="preserve">KKC290&gt;KKC273</t>
  </si>
  <si>
    <t xml:space="preserve">KKC290&gt;KKC290</t>
  </si>
  <si>
    <t xml:space="preserve">KKC290&gt;KKL205</t>
  </si>
  <si>
    <t xml:space="preserve">KKC290&gt;KKL276</t>
  </si>
  <si>
    <t xml:space="preserve">KKC290&gt;KKS205</t>
  </si>
  <si>
    <t xml:space="preserve">KKC290&gt;KKS250</t>
  </si>
  <si>
    <t xml:space="preserve">KKL195&gt;EWC190</t>
  </si>
  <si>
    <t xml:space="preserve">KKL195&gt;EWP190</t>
  </si>
  <si>
    <t xml:space="preserve">KKL195&gt;K28150</t>
  </si>
  <si>
    <t xml:space="preserve">KKL195&gt;K28170</t>
  </si>
  <si>
    <t xml:space="preserve">KKL195&gt;KKC273</t>
  </si>
  <si>
    <t xml:space="preserve">KKL195&gt;KKL205</t>
  </si>
  <si>
    <t xml:space="preserve">KKL195&gt;KKL276</t>
  </si>
  <si>
    <t xml:space="preserve">KKL195&gt;KKS195</t>
  </si>
  <si>
    <t xml:space="preserve">KKL195&gt;LLE150</t>
  </si>
  <si>
    <t xml:space="preserve">KKL195&gt;WUP250</t>
  </si>
  <si>
    <t xml:space="preserve">KKL200&gt;CHD318</t>
  </si>
  <si>
    <t xml:space="preserve">KKL200&gt;EKW175</t>
  </si>
  <si>
    <t xml:space="preserve">KKL205&gt;CHD318</t>
  </si>
  <si>
    <t xml:space="preserve">KKL205&gt;CHD358</t>
  </si>
  <si>
    <t xml:space="preserve">KKL205&gt;CKF205</t>
  </si>
  <si>
    <t xml:space="preserve">KKL205&gt;CKF227</t>
  </si>
  <si>
    <t xml:space="preserve">KKL205&gt;CKF233</t>
  </si>
  <si>
    <t xml:space="preserve">KKL205&gt;CKF250</t>
  </si>
  <si>
    <t xml:space="preserve">KKL205&gt;CKF276</t>
  </si>
  <si>
    <t xml:space="preserve">KKL205&gt;CKF285</t>
  </si>
  <si>
    <t xml:space="preserve">KKL205&gt;CKF312</t>
  </si>
  <si>
    <t xml:space="preserve">KKL205&gt;CKF332</t>
  </si>
  <si>
    <t xml:space="preserve">KKL205&gt;CKF360</t>
  </si>
  <si>
    <t xml:space="preserve">KKL205&gt;CKQ276</t>
  </si>
  <si>
    <t xml:space="preserve">KKL205&gt;CKQ300</t>
  </si>
  <si>
    <t xml:space="preserve">KKL205&gt;CNT210</t>
  </si>
  <si>
    <t xml:space="preserve">KKL205&gt;CNT276</t>
  </si>
  <si>
    <t xml:space="preserve">KKL205&gt;EWP175</t>
  </si>
  <si>
    <t xml:space="preserve">KKL205&gt;EWP190</t>
  </si>
  <si>
    <t xml:space="preserve">KKL205&gt;KKC205</t>
  </si>
  <si>
    <t xml:space="preserve">KKL205&gt;KKC227</t>
  </si>
  <si>
    <t xml:space="preserve">KKL205&gt;KKC233</t>
  </si>
  <si>
    <t xml:space="preserve">KKL205&gt;KKC273</t>
  </si>
  <si>
    <t xml:space="preserve">KKL205&gt;KKC290</t>
  </si>
  <si>
    <t xml:space="preserve">KKL205&gt;KKL205</t>
  </si>
  <si>
    <t xml:space="preserve">KKL205&gt;KKL276</t>
  </si>
  <si>
    <t xml:space="preserve">KKL205&gt;KKS205</t>
  </si>
  <si>
    <t xml:space="preserve">KKL205&gt;KKS250</t>
  </si>
  <si>
    <t xml:space="preserve">KKL276&gt;CHD318</t>
  </si>
  <si>
    <t xml:space="preserve">KKL276&gt;CHD358</t>
  </si>
  <si>
    <t xml:space="preserve">KKL276&gt;CKF205</t>
  </si>
  <si>
    <t xml:space="preserve">KKL276&gt;CKF227</t>
  </si>
  <si>
    <t xml:space="preserve">KKL276&gt;CKF233</t>
  </si>
  <si>
    <t xml:space="preserve">KKL276&gt;CKF250</t>
  </si>
  <si>
    <t xml:space="preserve">KKL276&gt;CKF276</t>
  </si>
  <si>
    <t xml:space="preserve">KKL276&gt;CKF285</t>
  </si>
  <si>
    <t xml:space="preserve">KKL276&gt;CKF312</t>
  </si>
  <si>
    <t xml:space="preserve">KKL276&gt;CKF332</t>
  </si>
  <si>
    <t xml:space="preserve">KKL276&gt;CKF360</t>
  </si>
  <si>
    <t xml:space="preserve">KKL276&gt;CKQ276</t>
  </si>
  <si>
    <t xml:space="preserve">KKL276&gt;CKQ300</t>
  </si>
  <si>
    <t xml:space="preserve">KKL276&gt;CNT210</t>
  </si>
  <si>
    <t xml:space="preserve">KKL276&gt;CNT276</t>
  </si>
  <si>
    <t xml:space="preserve">KKL276&gt;EWP175</t>
  </si>
  <si>
    <t xml:space="preserve">KKL276&gt;EWP190</t>
  </si>
  <si>
    <t xml:space="preserve">KKL276&gt;K28200</t>
  </si>
  <si>
    <t xml:space="preserve">KKL276&gt;KKC205</t>
  </si>
  <si>
    <t xml:space="preserve">KKL276&gt;KKC227</t>
  </si>
  <si>
    <t xml:space="preserve">KKL276&gt;KKC233</t>
  </si>
  <si>
    <t xml:space="preserve">KKL276&gt;KKC273</t>
  </si>
  <si>
    <t xml:space="preserve">KKL276&gt;KKC290</t>
  </si>
  <si>
    <t xml:space="preserve">KKL276&gt;KKL205</t>
  </si>
  <si>
    <t xml:space="preserve">KKL276&gt;KKL276</t>
  </si>
  <si>
    <t xml:space="preserve">KKL276&gt;KKS205</t>
  </si>
  <si>
    <t xml:space="preserve">KKL276&gt;KKS250</t>
  </si>
  <si>
    <t xml:space="preserve">KKS195&gt;EWP190</t>
  </si>
  <si>
    <t xml:space="preserve">KKS195&gt;KKL195</t>
  </si>
  <si>
    <t xml:space="preserve">KKS205&gt;CHD318</t>
  </si>
  <si>
    <t xml:space="preserve">KKS205&gt;CHD358</t>
  </si>
  <si>
    <t xml:space="preserve">KKS205&gt;CKF205</t>
  </si>
  <si>
    <t xml:space="preserve">KKS205&gt;CKF227</t>
  </si>
  <si>
    <t xml:space="preserve">KKS205&gt;CKF233</t>
  </si>
  <si>
    <t xml:space="preserve">KKS205&gt;CKF250</t>
  </si>
  <si>
    <t xml:space="preserve">KKS205&gt;CKF276</t>
  </si>
  <si>
    <t xml:space="preserve">KKS205&gt;CKF285</t>
  </si>
  <si>
    <t xml:space="preserve">KKS205&gt;CKF312</t>
  </si>
  <si>
    <t xml:space="preserve">KKS205&gt;CKF332</t>
  </si>
  <si>
    <t xml:space="preserve">KKS205&gt;CKF360</t>
  </si>
  <si>
    <t xml:space="preserve">KKS205&gt;CKQ276</t>
  </si>
  <si>
    <t xml:space="preserve">KKS205&gt;CKQ300</t>
  </si>
  <si>
    <t xml:space="preserve">KKS205&gt;CNT210</t>
  </si>
  <si>
    <t xml:space="preserve">KKS205&gt;CNT276</t>
  </si>
  <si>
    <t xml:space="preserve">KKS205&gt;EWP175</t>
  </si>
  <si>
    <t xml:space="preserve">KKS205&gt;EWP190</t>
  </si>
  <si>
    <t xml:space="preserve">KKS205&gt;KKC205</t>
  </si>
  <si>
    <t xml:space="preserve">KKS205&gt;KKC227</t>
  </si>
  <si>
    <t xml:space="preserve">KKS205&gt;KKC233</t>
  </si>
  <si>
    <t xml:space="preserve">KKS205&gt;KKC273</t>
  </si>
  <si>
    <t xml:space="preserve">KKS205&gt;KKC290</t>
  </si>
  <si>
    <t xml:space="preserve">KKS205&gt;KKL205</t>
  </si>
  <si>
    <t xml:space="preserve">KKS205&gt;KKL276</t>
  </si>
  <si>
    <t xml:space="preserve">KKS205&gt;KKS205</t>
  </si>
  <si>
    <t xml:space="preserve">KKS205&gt;KKS250</t>
  </si>
  <si>
    <t xml:space="preserve">KKS250&gt;CHD318</t>
  </si>
  <si>
    <t xml:space="preserve">KKS250&gt;CHD358</t>
  </si>
  <si>
    <t xml:space="preserve">KKS250&gt;CKF205</t>
  </si>
  <si>
    <t xml:space="preserve">KKS250&gt;CKF227</t>
  </si>
  <si>
    <t xml:space="preserve">KKS250&gt;CKF233</t>
  </si>
  <si>
    <t xml:space="preserve">KKS250&gt;CKF250</t>
  </si>
  <si>
    <t xml:space="preserve">KKS250&gt;CKF276</t>
  </si>
  <si>
    <t xml:space="preserve">KKS250&gt;CKF285</t>
  </si>
  <si>
    <t xml:space="preserve">KKS250&gt;CKF312</t>
  </si>
  <si>
    <t xml:space="preserve">KKS250&gt;CKF332</t>
  </si>
  <si>
    <t xml:space="preserve">KKS250&gt;CKF360</t>
  </si>
  <si>
    <t xml:space="preserve">KKS250&gt;CKQ276</t>
  </si>
  <si>
    <t xml:space="preserve">KKS250&gt;CKQ300</t>
  </si>
  <si>
    <t xml:space="preserve">KKS250&gt;CNT210</t>
  </si>
  <si>
    <t xml:space="preserve">KKS250&gt;CNT276</t>
  </si>
  <si>
    <t xml:space="preserve">KKS250&gt;EWP175</t>
  </si>
  <si>
    <t xml:space="preserve">KKS250&gt;EWP190</t>
  </si>
  <si>
    <t xml:space="preserve">KKS250&gt;KKC205</t>
  </si>
  <si>
    <t xml:space="preserve">KKS250&gt;KKC227</t>
  </si>
  <si>
    <t xml:space="preserve">KKS250&gt;KKC233</t>
  </si>
  <si>
    <t xml:space="preserve">KKS250&gt;KKC273</t>
  </si>
  <si>
    <t xml:space="preserve">KKS250&gt;KKC290</t>
  </si>
  <si>
    <t xml:space="preserve">KKS250&gt;KKL205</t>
  </si>
  <si>
    <t xml:space="preserve">KKS250&gt;KKL276</t>
  </si>
  <si>
    <t xml:space="preserve">KKS250&gt;KKS205</t>
  </si>
  <si>
    <t xml:space="preserve">KKS250&gt;KKS250</t>
  </si>
  <si>
    <t xml:space="preserve">LBS170&gt;K28150</t>
  </si>
  <si>
    <t xml:space="preserve">LBS170&gt;K28170</t>
  </si>
  <si>
    <t xml:space="preserve">LBS170&gt;K28200</t>
  </si>
  <si>
    <t xml:space="preserve">LBS170&gt;K28240</t>
  </si>
  <si>
    <t xml:space="preserve">LLE150&gt;CHD318</t>
  </si>
  <si>
    <t xml:space="preserve">LLE150&gt;CKF250</t>
  </si>
  <si>
    <t xml:space="preserve">LLE150&gt;EWP190</t>
  </si>
  <si>
    <t xml:space="preserve">LLE150&gt;K28150</t>
  </si>
  <si>
    <t xml:space="preserve">LLE150&gt;K28170</t>
  </si>
  <si>
    <t xml:space="preserve">LLE150&gt;K28200</t>
  </si>
  <si>
    <t xml:space="preserve">LLE150&gt;K28240</t>
  </si>
  <si>
    <t xml:space="preserve">LLE150&gt;LLE170</t>
  </si>
  <si>
    <t xml:space="preserve">LLE150&gt;LLE200</t>
  </si>
  <si>
    <t xml:space="preserve">LLE170&gt;CKQ276</t>
  </si>
  <si>
    <t xml:space="preserve">LLE170&gt;EKW200</t>
  </si>
  <si>
    <t xml:space="preserve">LLE170&gt;EWC175</t>
  </si>
  <si>
    <t xml:space="preserve">LLE170&gt;EWP190</t>
  </si>
  <si>
    <t xml:space="preserve">LLE170&gt;K28150</t>
  </si>
  <si>
    <t xml:space="preserve">LLE170&gt;K28170</t>
  </si>
  <si>
    <t xml:space="preserve">LLE170&gt;K28200</t>
  </si>
  <si>
    <t xml:space="preserve">LLE170&gt;KKL195</t>
  </si>
  <si>
    <t xml:space="preserve">LLE170&gt;LLE150</t>
  </si>
  <si>
    <t xml:space="preserve">LLE170&gt;LLE240</t>
  </si>
  <si>
    <t xml:space="preserve">LLE170&gt;LLE280</t>
  </si>
  <si>
    <t xml:space="preserve">LLE170&gt;LWE175</t>
  </si>
  <si>
    <t xml:space="preserve">LLE200&gt;EKW175</t>
  </si>
  <si>
    <t xml:space="preserve">LLE200&gt;K28170</t>
  </si>
  <si>
    <t xml:space="preserve">LLE200&gt;K28200</t>
  </si>
  <si>
    <t xml:space="preserve">LLE200&gt;LLE170</t>
  </si>
  <si>
    <t xml:space="preserve">LLE200&gt;WCP215</t>
  </si>
  <si>
    <t xml:space="preserve">LLE240&gt;K28240</t>
  </si>
  <si>
    <t xml:space="preserve">LLE240&gt;K28280</t>
  </si>
  <si>
    <t xml:space="preserve">LLE240&gt;LLE280</t>
  </si>
  <si>
    <t xml:space="preserve">LLE280&gt;K28150</t>
  </si>
  <si>
    <t xml:space="preserve">LLE280&gt;K28170</t>
  </si>
  <si>
    <t xml:space="preserve">LLE280&gt;LLE280</t>
  </si>
  <si>
    <t xml:space="preserve">LWE175&gt;CHD318</t>
  </si>
  <si>
    <t xml:space="preserve">LWE175&gt;CHD358</t>
  </si>
  <si>
    <t xml:space="preserve">LWE175&gt;CKF205</t>
  </si>
  <si>
    <t xml:space="preserve">LWE175&gt;CKF227</t>
  </si>
  <si>
    <t xml:space="preserve">LWE175&gt;CKF233</t>
  </si>
  <si>
    <t xml:space="preserve">LWE175&gt;CKF250</t>
  </si>
  <si>
    <t xml:space="preserve">LWE175&gt;CKF276</t>
  </si>
  <si>
    <t xml:space="preserve">LWE175&gt;CKF285</t>
  </si>
  <si>
    <t xml:space="preserve">LWE175&gt;CKF312</t>
  </si>
  <si>
    <t xml:space="preserve">LWE175&gt;CKF332</t>
  </si>
  <si>
    <t xml:space="preserve">LWE175&gt;CKF360</t>
  </si>
  <si>
    <t xml:space="preserve">LWE175&gt;CKQ276</t>
  </si>
  <si>
    <t xml:space="preserve">LWE175&gt;CKQ300</t>
  </si>
  <si>
    <t xml:space="preserve">LWE175&gt;CNT210</t>
  </si>
  <si>
    <t xml:space="preserve">LWE175&gt;CNT276</t>
  </si>
  <si>
    <t xml:space="preserve">LWE175&gt;EKW175</t>
  </si>
  <si>
    <t xml:space="preserve">LWE175&gt;EWC175</t>
  </si>
  <si>
    <t xml:space="preserve">LWE175&gt;EWC190</t>
  </si>
  <si>
    <t xml:space="preserve">LWE175&gt;EWP175</t>
  </si>
  <si>
    <t xml:space="preserve">LWE175&gt;EWP190</t>
  </si>
  <si>
    <t xml:space="preserve">LWE175&gt;K28135</t>
  </si>
  <si>
    <t xml:space="preserve">LWE175&gt;K28150</t>
  </si>
  <si>
    <t xml:space="preserve">LWE175&gt;K28170</t>
  </si>
  <si>
    <t xml:space="preserve">LWE175&gt;K28200</t>
  </si>
  <si>
    <t xml:space="preserve">LWE175&gt;KKC205</t>
  </si>
  <si>
    <t xml:space="preserve">LWE175&gt;KKC227</t>
  </si>
  <si>
    <t xml:space="preserve">LWE175&gt;KKC233</t>
  </si>
  <si>
    <t xml:space="preserve">LWE175&gt;KKC273</t>
  </si>
  <si>
    <t xml:space="preserve">LWE175&gt;KKC290</t>
  </si>
  <si>
    <t xml:space="preserve">LWE175&gt;KKL205</t>
  </si>
  <si>
    <t xml:space="preserve">LWE175&gt;KKL276</t>
  </si>
  <si>
    <t xml:space="preserve">LWE175&gt;KKS205</t>
  </si>
  <si>
    <t xml:space="preserve">LWE175&gt;KKS250</t>
  </si>
  <si>
    <t xml:space="preserve">LWE175&gt;LWE175</t>
  </si>
  <si>
    <t xml:space="preserve">LWE200&gt;EKW200</t>
  </si>
  <si>
    <t xml:space="preserve">WCP215&gt;WTP235</t>
  </si>
  <si>
    <t xml:space="preserve">WCP250&gt;CKF233</t>
  </si>
  <si>
    <t xml:space="preserve">WSB320&gt;K28150</t>
  </si>
  <si>
    <t xml:space="preserve">WSB320&gt;LLE150</t>
  </si>
  <si>
    <t xml:space="preserve">WTP205&gt;CKQ300</t>
  </si>
  <si>
    <t xml:space="preserve">WTP205&gt;EKW200</t>
  </si>
  <si>
    <t xml:space="preserve">WTP220&gt;WTP205</t>
  </si>
  <si>
    <t xml:space="preserve">WTP235&gt;CHD318</t>
  </si>
  <si>
    <t xml:space="preserve">WTP235&gt;WTP250</t>
  </si>
  <si>
    <t xml:space="preserve">WTP250&gt;WTP220</t>
  </si>
  <si>
    <t xml:space="preserve">WTP250&gt;WTP280</t>
  </si>
  <si>
    <t xml:space="preserve">WTP265&gt;WTP220</t>
  </si>
  <si>
    <t xml:space="preserve">WTP265&gt;WTP235</t>
  </si>
  <si>
    <t xml:space="preserve">WTP265&gt;WTP300</t>
  </si>
  <si>
    <t xml:space="preserve">WTP280&gt;WTP300</t>
  </si>
  <si>
    <t xml:space="preserve">WTP300&gt;WCP250</t>
  </si>
  <si>
    <t xml:space="preserve">WTP300&gt;WSB320</t>
  </si>
  <si>
    <t xml:space="preserve">WTP300&gt;WTP250</t>
  </si>
  <si>
    <t xml:space="preserve">WTP300&gt;WTP265</t>
  </si>
  <si>
    <t xml:space="preserve">WTP300&gt;WTP320</t>
  </si>
  <si>
    <t xml:space="preserve">WTP320&gt;K28200</t>
  </si>
  <si>
    <t xml:space="preserve">WUP250&gt;WTP265</t>
  </si>
  <si>
    <t xml:space="preserve">Mês</t>
  </si>
  <si>
    <t xml:space="preserve">Data Setup</t>
  </si>
  <si>
    <t xml:space="preserve">De </t>
  </si>
  <si>
    <t xml:space="preserve">Para</t>
  </si>
  <si>
    <t xml:space="preserve">Tempo </t>
  </si>
  <si>
    <t xml:space="preserve">Perda estimada</t>
  </si>
  <si>
    <t xml:space="preserve">LLE150</t>
  </si>
  <si>
    <t xml:space="preserve">LLE170</t>
  </si>
  <si>
    <t xml:space="preserve">Contagem de De </t>
  </si>
  <si>
    <t xml:space="preserve">Soma de Perda estimada</t>
  </si>
  <si>
    <t xml:space="preserve">Custo</t>
  </si>
  <si>
    <t xml:space="preserve">LLE200</t>
  </si>
  <si>
    <t xml:space="preserve">EKW200</t>
  </si>
  <si>
    <t xml:space="preserve">KKL195</t>
  </si>
  <si>
    <t xml:space="preserve">Total Resultado</t>
  </si>
  <si>
    <t xml:space="preserve">OEE</t>
  </si>
  <si>
    <t xml:space="preserve">Disponibilidade</t>
  </si>
  <si>
    <t xml:space="preserve">Performance</t>
  </si>
  <si>
    <t xml:space="preserve">Rendimento</t>
  </si>
  <si>
    <t xml:space="preserve">WTP265</t>
  </si>
  <si>
    <t xml:space="preserve">WTP220</t>
  </si>
  <si>
    <t xml:space="preserve">WTP205</t>
  </si>
  <si>
    <t xml:space="preserve">WUP250</t>
  </si>
  <si>
    <t xml:space="preserve">N° de setups</t>
  </si>
  <si>
    <t xml:space="preserve">Perda estimada (t)</t>
  </si>
  <si>
    <t xml:space="preserve">Custo Estimado</t>
  </si>
  <si>
    <t xml:space="preserve">Janeiro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</si>
  <si>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</si>
  <si>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</si>
  <si>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</si>
  <si>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</si>
  <si>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</si>
  <si>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</si>
  <si>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</si>
  <si>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</si>
  <si>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</si>
  <si>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</si>
  <si>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</si>
  <si>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 Geral</t>
  </si>
  <si>
    <t xml:space="preserve">WCP215</t>
  </si>
  <si>
    <t xml:space="preserve">WTP235</t>
  </si>
  <si>
    <t xml:space="preserve">WTP250</t>
  </si>
  <si>
    <t xml:space="preserve">WTP280</t>
  </si>
  <si>
    <t xml:space="preserve">WTP300</t>
  </si>
  <si>
    <t xml:space="preserve">WSB320</t>
  </si>
  <si>
    <t xml:space="preserve">K28240</t>
  </si>
  <si>
    <t xml:space="preserve">K28280</t>
  </si>
  <si>
    <t xml:space="preserve">LLE240</t>
  </si>
  <si>
    <t xml:space="preserve">LLE280</t>
  </si>
  <si>
    <t xml:space="preserve">LWE200</t>
  </si>
  <si>
    <t xml:space="preserve">WTP320</t>
  </si>
  <si>
    <t xml:space="preserve">KKS195</t>
  </si>
  <si>
    <t xml:space="preserve">WCP250</t>
  </si>
  <si>
    <t xml:space="preserve">LBS170</t>
  </si>
  <si>
    <t xml:space="preserve">K28320</t>
  </si>
  <si>
    <t xml:space="preserve">KKL200</t>
  </si>
  <si>
    <t xml:space="preserve">Total</t>
  </si>
  <si>
    <t xml:space="preserve">Orçamento</t>
  </si>
  <si>
    <t xml:space="preserve">Produção Bruta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</si>
</sst>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/m/yyyy\ hh:mm"/>
    <numFmt numFmtId="166" formatCode="[$-F400]h:mm:ss\ AM/PM"/>
    <numFmt numFmtId="167" formatCode="_-&quot;R$ &quot;* #,##0.00_-;&quot;-R$ &quot;* #,##0.00_-;_-&quot;R$ &quot;* \-??_-;_-@_-"/>
    <numFmt numFmtId="168" formatCode="0%"/>
    <numFmt numFmtId="169" formatCode="#,##0"/>
    <numFmt numFmtId="170" formatCode="_-[$R$-416]\ * #,##0.00_-;\-[$R$-416]\ * #,##0.00_-;_-[$R$-416]\ * \-??_-;_-@_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2"/>
      <color theme="1"/>
      <name val="Calibri"/>
      <family val="2"/>
    </font>
    <font>
      <sz val="9"/>
      <color rgb="FF595959"/>
      <name val="Calibri"/>
      <family val="2"/>
    </font>
    <font>
      <sz val="14"/>
      <color rgb="FF595959"/>
      <name val="Calibri"/>
      <family val="2"/>
    </font>
    <font>
      <sz val="12"/>
      <color rgb="FF404040"/>
      <name val="Calibri"/>
      <family val="2"/>
    </font>
    <font>
      <sz val="12"/>
      <color rgb="FF595959"/>
      <name val="Calibri"/>
      <family val="2"/>
    </font>
    <font>
      <sz val="10"/>
      <color rgb="FF000000"/>
      <name val="Calibri"/>
      <family val="2"/>
    </font>
    <font>
      <b val="true"/>
      <sz val="11"/>
      <color rgb="FFFF0000"/>
      <name val="Calibri"/>
      <family val="2"/>
      <charset val="1"/>
    </font>
    <font>
      <sz val="10"/>
      <color theme="1"/>
      <name val="Calibri"/>
      <family val="2"/>
      <charset val="1"/>
    </font>
    <font>
      <sz val="8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9" tint="0.5999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theme="4" tint="0.7999"/>
        <bgColor rgb="FFD9D9D9"/>
      </patternFill>
    </fill>
    <fill>
      <patternFill patternType="solid">
        <fgColor theme="0" tint="-0.25"/>
        <bgColor rgb="FF9DC3E6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thin">
        <color theme="4" tint="0.3999"/>
      </top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22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22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5" borderId="16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nto da tabela dinâmica" xfId="20"/>
    <cellStyle name="Valor da tabela dinâmica" xfId="21"/>
    <cellStyle name="Categoria da tabela dinâmica" xfId="22"/>
    <cellStyle name="Campo da tabela dinâmica" xfId="23"/>
    <cellStyle name="Título da tabela dinâmica" xfId="24"/>
    <cellStyle name="Resultado da tabela dinâmica" xfId="25"/>
  </cellStyles>
  <dxfs count="16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/>
    <dxf/>
    <dxf/>
    <dxf/>
    <dxf/>
    <dxf/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B8B8B"/>
      <rgbColor rgb="FF5B9BD5"/>
      <rgbColor rgb="FF993366"/>
      <rgbColor rgb="FFFFFF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DC3E6"/>
      <rgbColor rgb="FFFF99CC"/>
      <rgbColor rgb="FFCC99FF"/>
      <rgbColor rgb="FFFFC7CE"/>
      <rgbColor rgb="FF3366FF"/>
      <rgbColor rgb="FF33CCCC"/>
      <rgbColor rgb="FF92D050"/>
      <rgbColor rgb="FFFFC0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<Relationship Id="rId11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'Perda estimada'!$M$3</c:f>
              <c:strCache>
                <c:ptCount val="1"/>
                <c:pt idx="0">
                  <c:v>Contagem de De 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'Perda estimada'!$L$4:$L$16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 Resultado</c:v>
                </c:pt>
              </c:strCache>
            </c:strRef>
          </c:cat>
          <c:val>
            <c:numRef>
              <c:f>'Perda estimada'!$M$4:$M$16</c:f>
              <c:numCache>
                <c:formatCode>General</c:formatCode>
                <c:ptCount val="13"/>
                <c:pt idx="0">
                  <c:v>28</c:v>
                </c:pt>
                <c:pt idx="1">
                  <c:v>27</c:v>
                </c:pt>
                <c:pt idx="2">
                  <c:v>25</c:v>
                </c:pt>
                <c:pt idx="3">
                  <c:v>26</c:v>
                </c:pt>
                <c:pt idx="4">
                  <c:v>35</c:v>
                </c:pt>
                <c:pt idx="5">
                  <c:v>18</c:v>
                </c:pt>
                <c:pt idx="6">
                  <c:v>25</c:v>
                </c:pt>
                <c:pt idx="7">
                  <c:v>21</c:v>
                </c:pt>
                <c:pt idx="8">
                  <c:v>30</c:v>
                </c:pt>
                <c:pt idx="9">
                  <c:v>27</c:v>
                </c:pt>
                <c:pt idx="10">
                  <c:v>11</c:v>
                </c:pt>
                <c:pt idx="11">
                  <c:v>22</c:v>
                </c:pt>
                <c:pt idx="12">
                  <c:v>295</c:v>
                </c:pt>
              </c:numCache>
            </c:numRef>
          </c:val>
        </c:ser>
        <c:ser>
          <c:idx val="1"/>
          <c:order val="1"/>
          <c:tx>
            <c:strRef>
              <c:f>'Perda estimada'!$N$3</c:f>
              <c:strCache>
                <c:ptCount val="1"/>
                <c:pt idx="0">
                  <c:v>Soma de Perda estimada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'Perda estimada'!$L$4:$L$16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 Resultado</c:v>
                </c:pt>
              </c:strCache>
            </c:strRef>
          </c:cat>
          <c:val>
            <c:numRef>
              <c:f>'Perda estimada'!$N$4:$N$16</c:f>
              <c:numCache>
                <c:formatCode>General</c:formatCode>
                <c:ptCount val="13"/>
                <c:pt idx="0">
                  <c:v>1460</c:v>
                </c:pt>
                <c:pt idx="1">
                  <c:v>1430</c:v>
                </c:pt>
                <c:pt idx="2">
                  <c:v>1455</c:v>
                </c:pt>
                <c:pt idx="3">
                  <c:v>1145</c:v>
                </c:pt>
                <c:pt idx="4">
                  <c:v>2175</c:v>
                </c:pt>
                <c:pt idx="5">
                  <c:v>795</c:v>
                </c:pt>
                <c:pt idx="6">
                  <c:v>1370</c:v>
                </c:pt>
                <c:pt idx="7">
                  <c:v>1255</c:v>
                </c:pt>
                <c:pt idx="8">
                  <c:v>2175</c:v>
                </c:pt>
                <c:pt idx="9">
                  <c:v>1875</c:v>
                </c:pt>
                <c:pt idx="10">
                  <c:v>475</c:v>
                </c:pt>
                <c:pt idx="11">
                  <c:v>1975</c:v>
                </c:pt>
                <c:pt idx="12">
                  <c:v>17585</c:v>
                </c:pt>
              </c:numCache>
            </c:numRef>
          </c:val>
        </c:ser>
        <c:gapWidth val="219"/>
        <c:overlap val="-27"/>
        <c:axId val="37825187"/>
        <c:axId val="80241955"/>
      </c:barChart>
      <c:catAx>
        <c:axId val="378251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80241955"/>
        <c:crosses val="autoZero"/>
        <c:auto val="1"/>
        <c:lblAlgn val="ctr"/>
        <c:lblOffset val="100"/>
        <c:noMultiLvlLbl val="0"/>
      </c:catAx>
      <c:valAx>
        <c:axId val="8024195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378251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400" strike="noStrike" u="none">
                <a:solidFill>
                  <a:srgbClr val="595959"/>
                </a:solidFill>
                <a:uFillTx/>
                <a:latin typeface="Calibri"/>
              </a:rPr>
              <a:t>N° de setups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'Perda estimada'!$M$34</c:f>
              <c:strCache>
                <c:ptCount val="1"/>
                <c:pt idx="0">
                  <c:v>N° de setups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200" strike="noStrike" u="none">
                    <a:solidFill>
                      <a:srgbClr val="40404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'Perda estimada'!$L$35:$L$46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'Perda estimada'!$M$35:$M$46</c:f>
              <c:numCache>
                <c:formatCode>General</c:formatCode>
                <c:ptCount val="12"/>
                <c:pt idx="0">
                  <c:v>28</c:v>
                </c:pt>
                <c:pt idx="1">
                  <c:v>27</c:v>
                </c:pt>
                <c:pt idx="2">
                  <c:v>25</c:v>
                </c:pt>
                <c:pt idx="3">
                  <c:v>26</c:v>
                </c:pt>
                <c:pt idx="4">
                  <c:v>35</c:v>
                </c:pt>
                <c:pt idx="5">
                  <c:v>18</c:v>
                </c:pt>
                <c:pt idx="6">
                  <c:v>25</c:v>
                </c:pt>
                <c:pt idx="7">
                  <c:v>21</c:v>
                </c:pt>
                <c:pt idx="8">
                  <c:v>30</c:v>
                </c:pt>
                <c:pt idx="9">
                  <c:v>27</c:v>
                </c:pt>
                <c:pt idx="10">
                  <c:v>11</c:v>
                </c:pt>
                <c:pt idx="11">
                  <c:v>22</c:v>
                </c:pt>
              </c:numCache>
            </c:numRef>
          </c:val>
        </c:ser>
        <c:gapWidth val="219"/>
        <c:overlap val="-27"/>
        <c:axId val="31179405"/>
        <c:axId val="30997445"/>
      </c:barChart>
      <c:catAx>
        <c:axId val="3117940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12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30997445"/>
        <c:crosses val="autoZero"/>
        <c:auto val="1"/>
        <c:lblAlgn val="ctr"/>
        <c:lblOffset val="100"/>
        <c:noMultiLvlLbl val="0"/>
      </c:catAx>
      <c:valAx>
        <c:axId val="3099744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179405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12</xdr:col>
      <xdr:colOff>570600</xdr:colOff>
      <xdr:row>34</xdr:row>
      <xdr:rowOff>47520</xdr:rowOff>
    </xdr:to>
    <xdr:graphicFrame>
      <xdr:nvGraphicFramePr>
        <xdr:cNvPr id="0" name="Gráfico 1"/>
        <xdr:cNvGraphicFramePr/>
      </xdr:nvGraphicFramePr>
      <xdr:xfrm>
        <a:off x="0" y="0"/>
        <a:ext cx="9638280" cy="6006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12</xdr:col>
      <xdr:colOff>570600</xdr:colOff>
      <xdr:row>34</xdr:row>
      <xdr:rowOff>47520</xdr:rowOff>
    </xdr:to>
    <xdr:graphicFrame>
      <xdr:nvGraphicFramePr>
        <xdr:cNvPr id="1" name="Gráfico 1"/>
        <xdr:cNvGraphicFramePr/>
      </xdr:nvGraphicFramePr>
      <xdr:xfrm>
        <a:off x="0" y="0"/>
        <a:ext cx="9638280" cy="6006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237960</xdr:colOff>
      <xdr:row>1</xdr:row>
      <xdr:rowOff>152280</xdr:rowOff>
    </xdr:from>
    <xdr:to>
      <xdr:col>21</xdr:col>
      <xdr:colOff>485280</xdr:colOff>
      <xdr:row>22</xdr:row>
      <xdr:rowOff>18720</xdr:rowOff>
    </xdr:to>
    <xdr:pic>
      <xdr:nvPicPr>
        <xdr:cNvPr id="2" name="Imagem 1" descr=""/>
        <xdr:cNvPicPr/>
      </xdr:nvPicPr>
      <xdr:blipFill>
        <a:blip r:embed="rId1"/>
        <a:stretch/>
      </xdr:blipFill>
      <xdr:spPr>
        <a:xfrm>
          <a:off x="19475280" y="342720"/>
          <a:ext cx="4041360" cy="3867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19</xdr:col>
      <xdr:colOff>109800</xdr:colOff>
      <xdr:row>31</xdr:row>
      <xdr:rowOff>189000</xdr:rowOff>
    </xdr:to>
    <xdr:pic>
      <xdr:nvPicPr>
        <xdr:cNvPr id="3" name="Imagem 1" descr=""/>
        <xdr:cNvPicPr/>
      </xdr:nvPicPr>
      <xdr:blipFill>
        <a:blip r:embed="rId1"/>
        <a:stretch/>
      </xdr:blipFill>
      <xdr:spPr>
        <a:xfrm>
          <a:off x="0" y="190440"/>
          <a:ext cx="14127480" cy="5904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95" createdVersion="3">
  <cacheSource type="worksheet">
    <worksheetSource ref="A1:G296" sheet="Perda estimada"/>
  </cacheSource>
  <cacheFields count="7">
    <cacheField name="Mês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Data Setup" numFmtId="0">
      <sharedItems containsSemiMixedTypes="0" containsNonDate="0" containsDate="1" containsString="0" minDate="2025-01-01T02:24:09" maxDate="2025-12-24T09:37:39" count="295">
        <d v="2025-01-01T02:24:09"/>
        <d v="2025-01-03T23:45:16"/>
        <d v="2025-01-05T01:36:30"/>
        <d v="2025-01-05T23:23:54"/>
        <d v="2025-01-07T18:43:32"/>
        <d v="2025-01-08T10:00:46"/>
        <d v="2025-01-08T21:16:11"/>
        <d v="2025-01-09T01:58:55"/>
        <d v="2025-01-10T05:08:39"/>
        <d v="2025-01-11T03:16:48"/>
        <d v="2025-01-12T03:23:22"/>
        <d v="2025-01-15T11:10:43"/>
        <d v="2025-01-15T20:45:23"/>
        <d v="2025-01-16T09:12:22"/>
        <d v="2025-01-17T05:15:25"/>
        <d v="2025-01-17T23:05:40"/>
        <d v="2025-01-18T18:48:54"/>
        <d v="2025-01-20T07:35:03"/>
        <d v="2025-01-21T06:59:17"/>
        <d v="2025-01-24T15:41:37"/>
        <d v="2025-01-25T16:30:27"/>
        <d v="2025-01-26T17:30:05"/>
        <d v="2025-01-27T00:10:10"/>
        <d v="2025-01-28T12:43:23"/>
        <d v="2025-01-29T12:55:52"/>
        <d v="2025-01-29T17:54:17"/>
        <d v="2025-01-31T04:54:36"/>
        <d v="2025-01-31T20:52:09"/>
        <d v="2025-02-01T17:34:49"/>
        <d v="2025-02-02T10:40:02"/>
        <d v="2025-02-03T16:47:26"/>
        <d v="2025-02-04T22:05:20"/>
        <d v="2025-02-05T15:55:49"/>
        <d v="2025-02-06T05:26:14"/>
        <d v="2025-02-06T17:24:28"/>
        <d v="2025-02-07T03:03:32"/>
        <d v="2025-02-07T11:10:12"/>
        <d v="2025-02-08T20:04:21"/>
        <d v="2025-02-09T15:14:30"/>
        <d v="2025-02-13T06:11:00"/>
        <d v="2025-02-15T07:00:33"/>
        <d v="2025-02-18T08:15:55"/>
        <d v="2025-02-19T07:52:35"/>
        <d v="2025-02-20T17:08:48"/>
        <d v="2025-02-21T10:06:46"/>
        <d v="2025-02-21T18:17:11"/>
        <d v="2025-02-23T09:31:59"/>
        <d v="2025-02-23T20:05:04"/>
        <d v="2025-02-25T15:21:16"/>
        <d v="2025-02-26T03:36:11"/>
        <d v="2025-02-26T19:15:26"/>
        <d v="2025-02-27T04:46:04"/>
        <d v="2025-02-27T12:15:49"/>
        <d v="2025-02-28T03:22:14"/>
        <d v="2025-02-28T16:41:28"/>
        <d v="2025-03-03T06:36:40"/>
        <d v="2025-03-04T15:09:59"/>
        <d v="2025-03-06T01:44:57"/>
        <d v="2025-03-08T01:15:20"/>
        <d v="2025-03-08T19:08:38"/>
        <d v="2025-03-09T14:46:03"/>
        <d v="2025-03-10T03:23:42"/>
        <d v="2025-03-10T10:04:02"/>
        <d v="2025-03-10T19:32:01"/>
        <d v="2025-03-11T09:20:26"/>
        <d v="2025-03-11T18:59:06"/>
        <d v="2025-03-12T18:09:10"/>
        <d v="2025-03-13T01:22:34"/>
        <d v="2025-03-15T02:56:32"/>
        <d v="2025-03-17T04:58:34"/>
        <d v="2025-03-18T17:47:27"/>
        <d v="2025-03-19T22:32:12"/>
        <d v="2025-03-21T16:13:09"/>
        <d v="2025-03-23T19:06:16"/>
        <d v="2025-03-24T14:50:55"/>
        <d v="2025-03-25T20:07:14"/>
        <d v="2025-03-29T09:07:50"/>
        <d v="2025-03-30T04:44:14"/>
        <d v="2025-03-30T10:04:24"/>
        <d v="2025-03-31T14:07:12"/>
        <d v="2025-04-01T14:35:46"/>
        <d v="2025-04-02T01:59:00"/>
        <d v="2025-04-02T19:20:54"/>
        <d v="2025-04-05T22:03:01"/>
        <d v="2025-04-06T16:05:25"/>
        <d v="2025-04-07T11:11:14"/>
        <d v="2025-04-07T16:16:43"/>
        <d v="2025-04-07T20:31:34"/>
        <d v="2025-04-08T10:54:13"/>
        <d v="2025-04-10T03:35:21"/>
        <d v="2025-04-10T14:31:20"/>
        <d v="2025-04-11T05:01:35"/>
        <d v="2025-04-11T08:25:10"/>
        <d v="2025-04-12T18:45:13"/>
        <d v="2025-04-17T11:51:26"/>
        <d v="2025-04-18T11:41:35"/>
        <d v="2025-04-19T05:10:55"/>
        <d v="2025-04-19T17:23:14"/>
        <d v="2025-04-22T04:44:56"/>
        <d v="2025-04-24T19:46:23"/>
        <d v="2025-04-26T10:19:56"/>
        <d v="2025-04-26T22:28:59"/>
        <d v="2025-04-27T06:22:50"/>
        <d v="2025-04-28T01:49:28"/>
        <d v="2025-04-28T23:52:02"/>
        <d v="2025-04-30T05:43:20"/>
        <d v="2025-05-01T22:12:24"/>
        <d v="2025-05-02T11:57:13"/>
        <d v="2025-05-04T10:00:05"/>
        <d v="2025-05-04T20:31:00"/>
        <d v="2025-05-05T08:11:54"/>
        <d v="2025-05-06T12:47:38"/>
        <d v="2025-05-06T20:30:12"/>
        <d v="2025-05-07T09:49:27"/>
        <d v="2025-05-07T18:10:41"/>
        <d v="2025-05-13T16:02:24"/>
        <d v="2025-05-14T23:18:02"/>
        <d v="2025-05-15T11:07:42"/>
        <d v="2025-05-15T18:15:42"/>
        <d v="2025-05-17T00:44:25"/>
        <d v="2025-05-17T14:57:19"/>
        <d v="2025-05-18T00:14:58"/>
        <d v="2025-05-20T01:42:15"/>
        <d v="2025-05-20T22:20:10"/>
        <d v="2025-05-21T10:12:49"/>
        <d v="2025-05-21T19:01:13"/>
        <d v="2025-05-22T02:33:13"/>
        <d v="2025-05-22T03:36:43"/>
        <d v="2025-05-22T08:09:48"/>
        <d v="2025-05-22T13:08:28"/>
        <d v="2025-05-25T20:19:58"/>
        <d v="2025-05-27T08:57:56"/>
        <d v="2025-05-27T10:02:27"/>
        <d v="2025-05-27T16:27:12"/>
        <d v="2025-05-27T17:16:26"/>
        <d v="2025-05-27T19:53:16"/>
        <d v="2025-05-28T05:34:51"/>
        <d v="2025-05-29T00:03:25"/>
        <d v="2025-05-29T19:18:18"/>
        <d v="2025-05-31T08:16:36"/>
        <d v="2025-05-31T14:22:11"/>
        <d v="2025-06-01T16:37:34"/>
        <d v="2025-06-02T07:44:49"/>
        <d v="2025-06-02T16:53:43"/>
        <d v="2025-06-03T11:20:13"/>
        <d v="2025-06-03T16:59:58"/>
        <d v="2025-06-05T07:05:05"/>
        <d v="2025-06-06T06:43:19"/>
        <d v="2025-06-07T15:58:52"/>
        <d v="2025-06-07T21:57:42"/>
        <d v="2025-06-10T16:22:49"/>
        <d v="2025-06-13T12:29:34"/>
        <d v="2025-06-18T04:39:09"/>
        <d v="2025-06-19T01:23:32"/>
        <d v="2025-06-19T08:41:22"/>
        <d v="2025-06-19T18:29:52"/>
        <d v="2025-06-23T19:30:46"/>
        <d v="2025-06-27T22:32:16"/>
        <d v="2025-06-29T15:20:34"/>
        <d v="2025-07-01T13:44:57"/>
        <d v="2025-07-03T00:48:54"/>
        <d v="2025-07-04T09:03:27"/>
        <d v="2025-07-05T02:43:47"/>
        <d v="2025-07-06T05:21:05"/>
        <d v="2025-07-08T00:51:08"/>
        <d v="2025-07-09T23:04:05"/>
        <d v="2025-07-12T10:49:23"/>
        <d v="2025-07-12T13:21:52"/>
        <d v="2025-07-12T17:15:07"/>
        <d v="2025-07-14T00:12:30"/>
        <d v="2025-07-18T14:40:30"/>
        <d v="2025-07-20T13:49:46"/>
        <d v="2025-07-21T07:02:26"/>
        <d v="2025-07-21T11:35:11"/>
        <d v="2025-07-21T16:28:45"/>
        <d v="2025-07-24T20:49:36"/>
        <d v="2025-07-25T15:55:45"/>
        <d v="2025-07-25T23:32:39"/>
        <d v="2025-07-26T02:09:39"/>
        <d v="2025-07-27T01:42:03"/>
        <d v="2025-07-27T02:38:28"/>
        <d v="2025-07-29T03:23:20"/>
        <d v="2025-07-30T04:26:04"/>
        <d v="2025-07-31T14:46:28"/>
        <d v="2025-08-02T23:20:45"/>
        <d v="2025-08-03T16:11:54"/>
        <d v="2025-08-04T21:11:52"/>
        <d v="2025-08-07T19:07:18"/>
        <d v="2025-08-10T23:56:29"/>
        <d v="2025-08-11T15:20:38"/>
        <d v="2025-08-12T06:00:17"/>
        <d v="2025-08-12T23:08:11"/>
        <d v="2025-08-14T09:28:30"/>
        <d v="2025-08-14T15:08:29"/>
        <d v="2025-08-14T16:46:44"/>
        <d v="2025-08-16T11:52:17"/>
        <d v="2025-08-18T02:03:04"/>
        <d v="2025-08-18T12:19:29"/>
        <d v="2025-08-19T13:14:18"/>
        <d v="2025-08-21T01:58:56"/>
        <d v="2025-08-22T07:18:04"/>
        <d v="2025-08-22T16:32:59"/>
        <d v="2025-08-25T17:03:35"/>
        <d v="2025-08-28T01:45:02"/>
        <d v="2025-08-30T07:38:50"/>
        <d v="2025-09-02T09:34:55"/>
        <d v="2025-09-03T10:08:14"/>
        <d v="2025-09-03T18:36:08"/>
        <d v="2025-09-04T12:07:58"/>
        <d v="2025-09-04T16:34:22"/>
        <d v="2025-09-04T22:07:53"/>
        <d v="2025-09-05T09:46:36"/>
        <d v="2025-09-05T19:39:31"/>
        <d v="2025-09-06T16:06:20"/>
        <d v="2025-09-07T00:44:50"/>
        <d v="2025-09-07T10:30:35"/>
        <d v="2025-09-08T08:52:18"/>
        <d v="2025-09-08T17:08:37"/>
        <d v="2025-09-09T07:40:02"/>
        <d v="2025-09-13T21:57:46"/>
        <d v="2025-09-16T03:00:33"/>
        <d v="2025-09-16T16:41:28"/>
        <d v="2025-09-17T01:04:17"/>
        <d v="2025-09-17T15:43:22"/>
        <d v="2025-09-21T07:27:22"/>
        <d v="2025-09-21T12:41:42"/>
        <d v="2025-09-22T05:32:46"/>
        <d v="2025-09-23T00:23:35"/>
        <d v="2025-09-23T10:52:59"/>
        <d v="2025-09-23T14:13:24"/>
        <d v="2025-09-23T23:22:33"/>
        <d v="2025-09-24T18:29:52"/>
        <d v="2025-09-24T22:51:47"/>
        <d v="2025-09-25T13:55:12"/>
        <d v="2025-09-29T21:32:26"/>
        <d v="2025-10-02T00:29:44"/>
        <d v="2025-10-03T07:24:32"/>
        <d v="2025-10-04T02:08:50"/>
        <d v="2025-10-04T22:32:30"/>
        <d v="2025-10-05T08:05:14"/>
        <d v="2025-10-06T07:43:38"/>
        <d v="2025-10-07T19:53:36"/>
        <d v="2025-10-08T09:26:15"/>
        <d v="2025-10-08T09:59:26"/>
        <d v="2025-10-08T19:19:20"/>
        <d v="2025-10-12T02:50:16"/>
        <d v="2025-10-12T06:05:01"/>
        <d v="2025-10-13T08:47:59"/>
        <d v="2025-10-13T17:59:49"/>
        <d v="2025-10-13T23:46:19"/>
        <d v="2025-10-15T02:07:27"/>
        <d v="2025-10-16T12:53:41"/>
        <d v="2025-10-17T12:28:29"/>
        <d v="2025-10-18T09:59:38"/>
        <d v="2025-10-18T17:56:33"/>
        <d v="2025-10-19T06:28:32"/>
        <d v="2025-10-19T21:06:47"/>
        <d v="2025-10-25T03:43:54"/>
        <d v="2025-10-26T15:38:52"/>
        <d v="2025-10-27T10:36:46"/>
        <d v="2025-10-28T18:05:40"/>
        <d v="2025-10-30T08:56:18"/>
        <d v="2025-11-02T03:16:15"/>
        <d v="2025-11-22T21:16:55"/>
        <d v="2025-11-23T08:19:30"/>
        <d v="2025-11-23T19:45:05"/>
        <d v="2025-11-27T01:03:34"/>
        <d v="2025-11-27T06:53:40"/>
        <d v="2025-11-27T11:41:26"/>
        <d v="2025-11-28T01:05:17"/>
        <d v="2025-11-28T14:31:54"/>
        <d v="2025-11-29T12:17:02"/>
        <d v="2025-11-30T12:46:04"/>
        <d v="2025-12-01T19:12:13"/>
        <d v="2025-12-04T12:08:31"/>
        <d v="2025-12-06T14:21:57"/>
        <d v="2025-12-06T23:28:19"/>
        <d v="2025-12-07T01:48:10"/>
        <d v="2025-12-10T09:54:29"/>
        <d v="2025-12-11T12:03:00"/>
        <d v="2025-12-12T16:24:37"/>
        <d v="2025-12-13T00:20:32"/>
        <d v="2025-12-13T01:28:01"/>
        <d v="2025-12-13T18:42:26"/>
        <d v="2025-12-14T15:02:39"/>
        <d v="2025-12-17T10:52:21"/>
        <d v="2025-12-19T17:33:38"/>
        <d v="2025-12-20T12:47:03"/>
        <d v="2025-12-20T18:05:58"/>
        <d v="2025-12-21T11:44:07"/>
        <d v="2025-12-21T17:57:01"/>
        <d v="2025-12-22T13:29:11"/>
        <d v="2025-12-23T09:28:00"/>
        <d v="2025-12-23T16:53:25"/>
        <d v="2025-12-24T09:37:39"/>
      </sharedItems>
    </cacheField>
    <cacheField name="De " numFmtId="0">
      <sharedItems count="46">
        <s v="CHD318"/>
        <s v="CKF205"/>
        <s v="CKF233"/>
        <s v="CKF250"/>
        <s v="CKF276"/>
        <s v="CKF285"/>
        <s v="CKF312"/>
        <s v="CKF360"/>
        <s v="CKQ276"/>
        <s v="CKQ300"/>
        <s v="EKW175"/>
        <s v="EKW200"/>
        <s v="EWC175"/>
        <s v="EWC190"/>
        <s v="EWP190"/>
        <s v="K28150"/>
        <s v="K28170"/>
        <s v="K28200"/>
        <s v="K28240"/>
        <s v="K28280"/>
        <s v="K28320"/>
        <s v="KKC273"/>
        <s v="KKL195"/>
        <s v="KKL200"/>
        <s v="KKL205"/>
        <s v="KKL276"/>
        <s v="KKS195"/>
        <s v="LBS170"/>
        <s v="LLE150"/>
        <s v="LLE170"/>
        <s v="LLE200"/>
        <s v="LLE240"/>
        <s v="LLE280"/>
        <s v="LWE200"/>
        <s v="WCP215"/>
        <s v="WCP250"/>
        <s v="WSB320"/>
        <s v="WTP205"/>
        <s v="WTP220"/>
        <s v="WTP235"/>
        <s v="WTP250"/>
        <s v="WTP265"/>
        <s v="WTP280"/>
        <s v="WTP300"/>
        <s v="WTP320"/>
        <s v="WUP250"/>
      </sharedItems>
    </cacheField>
    <cacheField name="Para" numFmtId="0">
      <sharedItems count="47">
        <s v="CHD318"/>
        <s v="CKF205"/>
        <s v="CKF233"/>
        <s v="CKF250"/>
        <s v="CKF276"/>
        <s v="CKF285"/>
        <s v="CKF312"/>
        <s v="CKF360"/>
        <s v="CKQ276"/>
        <s v="CKQ300"/>
        <s v="EKW175"/>
        <s v="EKW200"/>
        <s v="EWC175"/>
        <s v="EWC190"/>
        <s v="EWP190"/>
        <s v="K28150"/>
        <s v="K28170"/>
        <s v="K28200"/>
        <s v="K28240"/>
        <s v="K28280"/>
        <s v="K28320"/>
        <s v="KKC273"/>
        <s v="KKL195"/>
        <s v="KKL200"/>
        <s v="KKL205"/>
        <s v="KKL276"/>
        <s v="KKS195"/>
        <s v="LBS170"/>
        <s v="LLE150"/>
        <s v="LLE170"/>
        <s v="LLE200"/>
        <s v="LLE240"/>
        <s v="LLE280"/>
        <s v="LWE175"/>
        <s v="LWE200"/>
        <s v="WCP215"/>
        <s v="WCP250"/>
        <s v="WSB320"/>
        <s v="WTP205"/>
        <s v="WTP220"/>
        <s v="WTP235"/>
        <s v="WTP250"/>
        <s v="WTP265"/>
        <s v="WTP280"/>
        <s v="WTP300"/>
        <s v="WTP320"/>
        <s v="WUP250"/>
      </sharedItems>
    </cacheField>
    <cacheField name="Tempo " numFmtId="0">
      <sharedItems containsSemiMixedTypes="0" containsString="0" containsNumber="1" minValue="0" maxValue="2.30512731481576" count="282">
        <n v="0"/>
        <n v="0.00601851851388346"/>
        <n v="0.00827546296204673"/>
        <n v="0.0089120370321325"/>
        <n v="0.0090856481474475"/>
        <n v="0.00966435184818693"/>
        <n v="0.0105902777795563"/>
        <n v="0.0110648148183827"/>
        <n v="0.0118518518502242"/>
        <n v="0.0125115740738693"/>
        <n v="0.0126157407357823"/>
        <n v="0.0127430555512547"/>
        <n v="0.0133796296286164"/>
        <n v="0.0142939814759302"/>
        <n v="0.0145254629605915"/>
        <n v="0.0146527777760639"/>
        <n v="0.0147569444452529"/>
        <n v="0.0153240740692127"/>
        <n v="0.015381944445835"/>
        <n v="0.0168287037013215"/>
        <n v="0.0169560185240698"/>
        <n v="0.0177083333328483"/>
        <n v="0.0182291666642413"/>
        <n v="0.0192129629576812"/>
        <n v="0.0193865740729962"/>
        <n v="0.0197800925961928"/>
        <n v="0.0204282407357823"/>
        <n v="0.020613425920601"/>
        <n v="0.0206712962972233"/>
        <n v="0.0212962962978054"/>
        <n v="0.0223379629605915"/>
        <n v="0.0230439814840793"/>
        <n v="0.023090277776646"/>
        <n v="0.0244212962934398"/>
        <n v="0.0248842592627625"/>
        <n v="0.0252314814788406"/>
        <n v="0.0254629629635019"/>
        <n v="0.0257986111100763"/>
        <n v="0.0271412037036498"/>
        <n v="0.0274884259270038"/>
        <n v="0.0283449074049713"/>
        <n v="0.028981481482333"/>
        <n v="0.0294560185211594"/>
        <n v="0.0296412036987022"/>
        <n v="0.031423611108039"/>
        <n v="0.03166666666948"/>
        <n v="0.0317129629620467"/>
        <n v="0.0318287037007394"/>
        <n v="0.0322453703702195"/>
        <n v="0.0324189814782585"/>
        <n v="0.0325810185240698"/>
        <n v="0.0327546296248329"/>
        <n v="0.0327546296321088"/>
        <n v="0.0328703703708015"/>
        <n v="0.0330439814788406"/>
        <n v="0.0330902777786832"/>
        <n v="0.0332754629635019"/>
        <n v="0.0333333333328483"/>
        <n v="0.0334953703713836"/>
        <n v="0.0335185185249429"/>
        <n v="0.0335648148175096"/>
        <n v="0.033726851856045"/>
        <n v="0.0337847222253913"/>
        <n v="0.0340162037027767"/>
        <n v="0.0340277777795563"/>
        <n v="0.0340856481489027"/>
        <n v="0.0341898148180917"/>
        <n v="0.0343634259261307"/>
        <n v="0.0346527777801384"/>
        <n v="0.0346643518569181"/>
        <n v="0.0347337962957681"/>
        <n v="0.0348379629649571"/>
        <n v="0.0349421296268702"/>
        <n v="0.0352430555576575"/>
        <n v="0.0356481481503579"/>
        <n v="0.0358217592583969"/>
        <n v="0.0359375000043656"/>
        <n v="0.0360532407357823"/>
        <n v="0.0360532407430583"/>
        <n v="0.0362847222204437"/>
        <n v="0.0364583333284827"/>
        <n v="0.03668981482042"/>
        <n v="0.0372106481445371"/>
        <n v="0.0373148148137261"/>
        <n v="0.0375578703678912"/>
        <n v="0.0377893518525525"/>
        <n v="0.0378356481451192"/>
        <n v="0.0379050925912452"/>
        <n v="0.0379513888910878"/>
        <n v="0.0379629629678675"/>
        <n v="0.0380208333299379"/>
        <n v="0.0380208333372138"/>
        <n v="0.0380787036992842"/>
        <n v="0.0382523148145992"/>
        <n v="0.0383101851839456"/>
        <n v="0.0384259259299142"/>
        <n v="0.0384837962919846"/>
        <n v="0.0386574074072996"/>
        <n v="0.0389467592613073"/>
        <n v="0.0390625"/>
        <n v="0.0391203703693464"/>
        <n v="0.0391782407386927"/>
        <n v="0.0392245370385353"/>
        <n v="0.039340277777228"/>
        <n v="0.039340277784504"/>
        <n v="0.0394212962928577"/>
        <n v="0.0395254629620467"/>
        <n v="0.0396990740773617"/>
        <n v="0.0399768518545898"/>
        <n v="0.0399884259240935"/>
        <n v="0.0399999999935972"/>
        <n v="0.0400462962934398"/>
        <n v="0.0400925925932825"/>
        <n v="0.0401041666700621"/>
        <n v="0.0402314814782585"/>
        <n v="0.0402662037013215"/>
        <n v="0.0403356481474475"/>
        <n v="0.0404513888934162"/>
        <n v="0.0405208333322662"/>
        <n v="0.0405671296321088"/>
        <n v="0.0406712963012978"/>
        <n v="0.0412499999947613"/>
        <n v="0.041261574071541"/>
        <n v="0.0416666666642414"/>
        <n v="0.0418402777795563"/>
        <n v="0.0419444444487453"/>
        <n v="0.0420717592569417"/>
        <n v="0.0420717592642177"/>
        <n v="0.0421180555567844"/>
        <n v="0.0422453703722567"/>
        <n v="0.0424768518496421"/>
        <n v="0.0425925925956108"/>
        <n v="0.0426504629649571"/>
        <n v="0.0429398148116889"/>
        <n v="0.0431712962963502"/>
        <n v="0.0431828703658539"/>
        <n v="0.0432291666656965"/>
        <n v="0.0432870370350429"/>
        <n v="0.0432870370423188"/>
        <n v="0.0433449074116652"/>
        <n v="0.0434027777810115"/>
        <n v="0.0436342592583969"/>
        <n v="0.0437499999970896"/>
        <n v="0.0439351851891843"/>
        <n v="0.0440393518510973"/>
        <n v="0.0440972222204437"/>
        <n v="0.0442129629591364"/>
        <n v="0.044224537035916"/>
        <n v="0.0446180555518367"/>
        <n v="0.0446180555591127"/>
        <n v="0.0448032407439314"/>
        <n v="0.0449652777824667"/>
        <n v="0.0450231481445371"/>
        <n v="0.0450810185211594"/>
        <n v="0.0451388888905058"/>
        <n v="0.0451851851903484"/>
        <n v="0.0451967592598521"/>
        <n v="0.0452546296291985"/>
        <n v="0.0453703703678912"/>
        <n v="0.0454282407372375"/>
        <n v="0.0455439814832062"/>
        <n v="0.0455555555599858"/>
        <n v="0.0456018518525525"/>
        <n v="0.0456134259293322"/>
        <n v="0.0458912036992842"/>
        <n v="0.0461111111144419"/>
        <n v="0.0462962962992606"/>
        <n v="0.0465162037071423"/>
        <n v="0.046527777776646"/>
        <n v="0.0465393518534256"/>
        <n v="0.0465856481532683"/>
        <n v="0.046631944445835"/>
        <n v="0.0466435185153387"/>
        <n v="0.046875"/>
        <n v="0.046944444446126"/>
        <n v="0.047048611115315"/>
        <n v="0.0472916666622041"/>
        <n v="0.0473495370315504"/>
        <n v="0.0473958333313931"/>
        <n v="0.0475115740773617"/>
        <n v="0.0475694444467081"/>
        <n v="0.0476851851854008"/>
        <n v="0.0476967592549045"/>
        <n v="0.0479166666627862"/>
        <n v="0.0480208333319752"/>
        <n v="0.0481481481474475"/>
        <n v="0.0482060185167939"/>
        <n v="0.0484953703708015"/>
        <n v="0.0485532407401479"/>
        <n v="0.0487731481480296"/>
        <n v="0.0487847222248092"/>
        <n v="0.0488888888867223"/>
        <n v="0.0490625000020373"/>
        <n v="0.04917824074073"/>
        <n v="0.04924768517958"/>
        <n v="0.0493055555562023"/>
        <n v="0.0494675925947377"/>
        <n v="0.0498263888875954"/>
        <n v="0.0499305555567844"/>
        <n v="0.0500694444417604"/>
        <n v="0.0501157407416031"/>
        <n v="0.0505787037036498"/>
        <n v="0.0506944444423425"/>
        <n v="0.0509953703731298"/>
        <n v="0.0511574074043892"/>
        <n v="0.0512152777737356"/>
        <n v="0.0513888888890506"/>
        <n v="0.0514583333351766"/>
        <n v="0.0515162037045229"/>
        <n v="0.05189814815094"/>
        <n v="0.0523611111129867"/>
        <n v="0.0524884259211831"/>
        <n v="0.0528935185138835"/>
        <n v="0.0529050925906631"/>
        <n v="0.0529398148137261"/>
        <n v="0.0531249999985448"/>
        <n v="0.0533564814759302"/>
        <n v="0.0534027777757729"/>
        <n v="0.0537615740759065"/>
        <n v="0.0542245370379533"/>
        <n v="0.0549768518540077"/>
        <n v="0.0550231481465744"/>
        <n v="0.0552083333313931"/>
        <n v="0.0602430555591127"/>
        <n v="0.0661342592575238"/>
        <n v="0.0728009259255487"/>
        <n v="0.0746527777810115"/>
        <n v="0.0800347222248092"/>
        <n v="0.0824652777810115"/>
        <n v="0.0843749999985448"/>
        <n v="0.0882986111100763"/>
        <n v="0.112337962964375"/>
        <n v="0.112604166664823"/>
        <n v="0.112673611110949"/>
        <n v="0.116608796291985"/>
        <n v="0.119560185186856"/>
        <n v="0.120949074072996"/>
        <n v="0.122974537036498"/>
        <n v="0.12401620370656"/>
        <n v="0.126747685186274"/>
        <n v="0.127592592587462"/>
        <n v="0.132060185183946"/>
        <n v="0.138993055559695"/>
        <n v="0.142071759255487"/>
        <n v="0.14473379629635"/>
        <n v="0.147974537030677"/>
        <n v="0.148368055553874"/>
        <n v="0.1488425925927"/>
        <n v="0.151793981480296"/>
        <n v="0.175636574072996"/>
        <n v="0.185706018521159"/>
        <n v="0.186458333337214"/>
        <n v="0.188310185185401"/>
        <n v="0.19211805555824"/>
        <n v="0.19859953703417"/>
        <n v="0.211354166662204"/>
        <n v="0.2145717592648"/>
        <n v="0.223946759266255"/>
        <n v="0.258506944446708"/>
        <n v="0.267615740740439"/>
        <n v="0.276550925926131"/>
        <n v="0.286111111112405"/>
        <n v="0.298090277778101"/>
        <n v="0.301388888881775"/>
        <n v="0.313125000000582"/>
        <n v="0.316493055557658"/>
        <n v="0.430138888885267"/>
        <n v="0.44663194444729"/>
        <n v="0.454282407408755"/>
        <n v="0.502430555556202"/>
        <n v="0.504918981481751"/>
        <n v="0.522627314814599"/>
        <n v="0.549016203702195"/>
        <n v="0.568043981475057"/>
        <n v="0.615439814813726"/>
        <n v="0.706817129634146"/>
        <n v="0.715381944442925"/>
        <n v="0.717928240745096"/>
        <n v="0.75461805555824"/>
        <n v="0.772974537037953"/>
        <n v="1.15396990740555"/>
        <n v="2.30512731481576"/>
      </sharedItems>
    </cacheField>
    <cacheField name="De&gt;Para" numFmtId="0">
      <sharedItems count="194">
        <s v="CHD318&gt;CKF233"/>
        <s v="CHD318&gt;CKF250"/>
        <s v="CHD318&gt;CKF360"/>
        <s v="CHD318&gt;CKQ300"/>
        <s v="CHD318&gt;EKW200"/>
        <s v="CHD318&gt;EWP190"/>
        <s v="CHD318&gt;K28170"/>
        <s v="CHD318&gt;K28200"/>
        <s v="CHD318&gt;WTP300"/>
        <s v="CKF205&gt;KKL195"/>
        <s v="CKF233&gt;CKQ300"/>
        <s v="CKF233&gt;EKW200"/>
        <s v="CKF233&gt;EWC190"/>
        <s v="CKF233&gt;EWP190"/>
        <s v="CKF233&gt;K28150"/>
        <s v="CKF233&gt;KKL200"/>
        <s v="CKF233&gt;WTP265"/>
        <s v="CKF250&gt;CKF233"/>
        <s v="CKF250&gt;CKF285"/>
        <s v="CKF250&gt;CKF312"/>
        <s v="CKF250&gt;LLE200"/>
        <s v="CKF276&gt;K28170"/>
        <s v="CKF276&gt;KKC273"/>
        <s v="CKF285&gt;CKF233"/>
        <s v="CKF285&gt;CKF250"/>
        <s v="CKF285&gt;CKF312"/>
        <s v="CKF312&gt;CKF250"/>
        <s v="CKF312&gt;CKF285"/>
        <s v="CKF312&gt;K28150"/>
        <s v="CKF360&gt;CHD318"/>
        <s v="CKQ276&gt;CKF312"/>
        <s v="CKQ276&gt;CKQ300"/>
        <s v="CKQ276&gt;EWP190"/>
        <s v="CKQ276&gt;KKC273"/>
        <s v="CKQ276&gt;KKL195"/>
        <s v="CKQ300&gt;CHD318"/>
        <s v="CKQ300&gt;CKF250"/>
        <s v="CKQ300&gt;CKQ276"/>
        <s v="CKQ300&gt;K28150"/>
        <s v="EKW175&gt;CHD318"/>
        <s v="EKW175&gt;CKF233"/>
        <s v="EKW175&gt;EKW200"/>
        <s v="EKW175&gt;EWP190"/>
        <s v="EKW175&gt;K28150"/>
        <s v="EKW175&gt;K28170"/>
        <s v="EKW175&gt;KKL205"/>
        <s v="EKW175&gt;LLE170"/>
        <s v="EKW175&gt;LWE200"/>
        <s v="EKW200&gt;CKF205"/>
        <s v="EKW200&gt;EKW175"/>
        <s v="EKW200&gt;K28150"/>
        <s v="EKW200&gt;K28170"/>
        <s v="EKW200&gt;K28200"/>
        <s v="EKW200&gt;LLE170"/>
        <s v="EKW200&gt;LLE200"/>
        <s v="EWC175&gt;CKF233"/>
        <s v="EWC175&gt;CKF312"/>
        <s v="EWC175&gt;EKW175"/>
        <s v="EWC175&gt;EKW200"/>
        <s v="EWC175&gt;K28150"/>
        <s v="EWC175&gt;LLE150"/>
        <s v="EWC190&gt;CHD318"/>
        <s v="EWC190&gt;EKW175"/>
        <s v="EWC190&gt;EWC175"/>
        <s v="EWP190&gt;CHD318"/>
        <s v="EWP190&gt;CKF233"/>
        <s v="EWP190&gt;CKF360"/>
        <s v="EWP190&gt;EKW175"/>
        <s v="EWP190&gt;EWC175"/>
        <s v="EWP190&gt;EWC190"/>
        <s v="EWP190&gt;K28170"/>
        <s v="EWP190&gt;KKL195"/>
        <s v="EWP190&gt;KKS195"/>
        <s v="EWP190&gt;LLE200"/>
        <s v="EWP190&gt;WTP250"/>
        <s v="K28150&gt;CHD318"/>
        <s v="K28150&gt;CKF312"/>
        <s v="K28150&gt;EKW175"/>
        <s v="K28150&gt;EKW200"/>
        <s v="K28150&gt;EWC190"/>
        <s v="K28150&gt;K28170"/>
        <s v="K28150&gt;K28200"/>
        <s v="K28150&gt;K28240"/>
        <s v="K28150&gt;KKC273"/>
        <s v="K28150&gt;LBS170"/>
        <s v="K28150&gt;LLE150"/>
        <s v="K28150&gt;LLE200"/>
        <s v="K28170&gt;CHD318"/>
        <s v="K28170&gt;CKQ276"/>
        <s v="K28170&gt;EKW175"/>
        <s v="K28170&gt;K28150"/>
        <s v="K28170&gt;K28200"/>
        <s v="K28170&gt;KKC273"/>
        <s v="K28170&gt;KKL195"/>
        <s v="K28170&gt;LBS170"/>
        <s v="K28170&gt;LLE150"/>
        <s v="K28170&gt;LLE170"/>
        <s v="K28200&gt;CHD318"/>
        <s v="K28200&gt;CKF233"/>
        <s v="K28200&gt;EKW200"/>
        <s v="K28200&gt;K28150"/>
        <s v="K28200&gt;K28170"/>
        <s v="K28200&gt;K28240"/>
        <s v="K28200&gt;KKL195"/>
        <s v="K28200&gt;LLE150"/>
        <s v="K28200&gt;LLE170"/>
        <s v="K28200&gt;LLE200"/>
        <s v="K28240&gt;K28170"/>
        <s v="K28240&gt;K28200"/>
        <s v="K28240&gt;K28280"/>
        <s v="K28240&gt;LLE240"/>
        <s v="K28280&gt;K28170"/>
        <s v="K28280&gt;K28200"/>
        <s v="K28280&gt;K28320"/>
        <s v="K28280&gt;LBS170"/>
        <s v="K28320&gt;K28200"/>
        <s v="KKC273&gt;CKF276"/>
        <s v="KKC273&gt;CKQ276"/>
        <s v="KKC273&gt;EWC175"/>
        <s v="KKC273&gt;KKC273"/>
        <s v="KKL195&gt;EWC190"/>
        <s v="KKL195&gt;EWP190"/>
        <s v="KKL195&gt;K28170"/>
        <s v="KKL195&gt;KKC273"/>
        <s v="KKL195&gt;KKL205"/>
        <s v="KKL195&gt;KKL276"/>
        <s v="KKL195&gt;KKS195"/>
        <s v="KKL195&gt;LLE150"/>
        <s v="KKL195&gt;WUP250"/>
        <s v="KKL200&gt;CHD318"/>
        <s v="KKL200&gt;EKW175"/>
        <s v="KKL205&gt;CKF233"/>
        <s v="KKL205&gt;EWP190"/>
        <s v="KKL276&gt;K28200"/>
        <s v="KKS195&gt;EWP190"/>
        <s v="KKS195&gt;KKL195"/>
        <s v="LBS170&gt;K28150"/>
        <s v="LBS170&gt;K28170"/>
        <s v="LBS170&gt;K28200"/>
        <s v="LBS170&gt;K28240"/>
        <s v="LLE150&gt;CHD318"/>
        <s v="LLE150&gt;CKF250"/>
        <s v="LLE150&gt;EWP190"/>
        <s v="LLE150&gt;K28150"/>
        <s v="LLE150&gt;K28170"/>
        <s v="LLE150&gt;K28200"/>
        <s v="LLE150&gt;K28240"/>
        <s v="LLE150&gt;LLE170"/>
        <s v="LLE150&gt;LLE200"/>
        <s v="LLE170&gt;CKQ276"/>
        <s v="LLE170&gt;EKW200"/>
        <s v="LLE170&gt;EWC175"/>
        <s v="LLE170&gt;EWP190"/>
        <s v="LLE170&gt;K28150"/>
        <s v="LLE170&gt;K28170"/>
        <s v="LLE170&gt;K28200"/>
        <s v="LLE170&gt;KKL195"/>
        <s v="LLE170&gt;LLE150"/>
        <s v="LLE170&gt;LLE240"/>
        <s v="LLE170&gt;LLE280"/>
        <s v="LLE170&gt;LWE175"/>
        <s v="LLE200&gt;EKW175"/>
        <s v="LLE200&gt;K28170"/>
        <s v="LLE200&gt;K28200"/>
        <s v="LLE200&gt;LLE170"/>
        <s v="LLE200&gt;WCP215"/>
        <s v="LLE240&gt;K28240"/>
        <s v="LLE240&gt;K28280"/>
        <s v="LLE240&gt;LLE280"/>
        <s v="LLE280&gt;K28150"/>
        <s v="LLE280&gt;K28170"/>
        <s v="LLE280&gt;LLE280"/>
        <s v="LWE200&gt;EKW200"/>
        <s v="WCP215&gt;WTP235"/>
        <s v="WCP250&gt;CKF233"/>
        <s v="WSB320&gt;LLE150"/>
        <s v="WTP205&gt;CKQ300"/>
        <s v="WTP205&gt;EKW200"/>
        <s v="WTP220&gt;WTP205"/>
        <s v="WTP235&gt;CHD318"/>
        <s v="WTP235&gt;WTP250"/>
        <s v="WTP250&gt;WTP220"/>
        <s v="WTP250&gt;WTP280"/>
        <s v="WTP265&gt;WTP220"/>
        <s v="WTP265&gt;WTP235"/>
        <s v="WTP265&gt;WTP300"/>
        <s v="WTP280&gt;WTP300"/>
        <s v="WTP300&gt;WCP250"/>
        <s v="WTP300&gt;WSB320"/>
        <s v="WTP300&gt;WTP250"/>
        <s v="WTP300&gt;WTP265"/>
        <s v="WTP300&gt;WTP320"/>
        <s v="WTP320&gt;K28200"/>
        <s v="WUP250&gt;WTP265"/>
      </sharedItems>
    </cacheField>
    <cacheField name="Perda estimada" numFmtId="0">
      <sharedItems containsSemiMixedTypes="0" containsString="0" containsNumber="1" containsInteger="1" minValue="0" maxValue="260" count="21">
        <n v="0"/>
        <n v="10"/>
        <n v="15"/>
        <n v="20"/>
        <n v="25"/>
        <n v="30"/>
        <n v="35"/>
        <n v="40"/>
        <n v="45"/>
        <n v="50"/>
        <n v="60"/>
        <n v="65"/>
        <n v="70"/>
        <n v="80"/>
        <n v="90"/>
        <n v="100"/>
        <n v="120"/>
        <n v="130"/>
        <n v="180"/>
        <n v="240"/>
        <n v="26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x v="0"/>
    <x v="0"/>
    <x v="28"/>
    <x v="29"/>
    <x v="167"/>
    <x v="147"/>
    <x v="10"/>
  </r>
  <r>
    <x v="0"/>
    <x v="1"/>
    <x v="29"/>
    <x v="17"/>
    <x v="228"/>
    <x v="155"/>
    <x v="10"/>
  </r>
  <r>
    <x v="0"/>
    <x v="2"/>
    <x v="17"/>
    <x v="29"/>
    <x v="276"/>
    <x v="105"/>
    <x v="10"/>
  </r>
  <r>
    <x v="0"/>
    <x v="3"/>
    <x v="29"/>
    <x v="17"/>
    <x v="111"/>
    <x v="155"/>
    <x v="10"/>
  </r>
  <r>
    <x v="0"/>
    <x v="4"/>
    <x v="30"/>
    <x v="29"/>
    <x v="20"/>
    <x v="164"/>
    <x v="10"/>
  </r>
  <r>
    <x v="0"/>
    <x v="5"/>
    <x v="29"/>
    <x v="33"/>
    <x v="3"/>
    <x v="160"/>
    <x v="15"/>
  </r>
  <r>
    <x v="0"/>
    <x v="6"/>
    <x v="10"/>
    <x v="11"/>
    <x v="129"/>
    <x v="41"/>
    <x v="9"/>
  </r>
  <r>
    <x v="0"/>
    <x v="7"/>
    <x v="11"/>
    <x v="1"/>
    <x v="232"/>
    <x v="48"/>
    <x v="9"/>
  </r>
  <r>
    <x v="0"/>
    <x v="8"/>
    <x v="1"/>
    <x v="22"/>
    <x v="2"/>
    <x v="9"/>
    <x v="0"/>
  </r>
  <r>
    <x v="0"/>
    <x v="9"/>
    <x v="22"/>
    <x v="16"/>
    <x v="148"/>
    <x v="122"/>
    <x v="5"/>
  </r>
  <r>
    <x v="0"/>
    <x v="10"/>
    <x v="16"/>
    <x v="28"/>
    <x v="39"/>
    <x v="95"/>
    <x v="10"/>
  </r>
  <r>
    <x v="0"/>
    <x v="11"/>
    <x v="28"/>
    <x v="30"/>
    <x v="281"/>
    <x v="148"/>
    <x v="10"/>
  </r>
  <r>
    <x v="0"/>
    <x v="12"/>
    <x v="30"/>
    <x v="29"/>
    <x v="176"/>
    <x v="164"/>
    <x v="10"/>
  </r>
  <r>
    <x v="0"/>
    <x v="13"/>
    <x v="29"/>
    <x v="22"/>
    <x v="235"/>
    <x v="156"/>
    <x v="16"/>
  </r>
  <r>
    <x v="0"/>
    <x v="14"/>
    <x v="22"/>
    <x v="28"/>
    <x v="210"/>
    <x v="127"/>
    <x v="16"/>
  </r>
  <r>
    <x v="0"/>
    <x v="15"/>
    <x v="28"/>
    <x v="29"/>
    <x v="201"/>
    <x v="147"/>
    <x v="10"/>
  </r>
  <r>
    <x v="0"/>
    <x v="16"/>
    <x v="29"/>
    <x v="8"/>
    <x v="265"/>
    <x v="149"/>
    <x v="15"/>
  </r>
  <r>
    <x v="0"/>
    <x v="17"/>
    <x v="8"/>
    <x v="9"/>
    <x v="105"/>
    <x v="31"/>
    <x v="2"/>
  </r>
  <r>
    <x v="0"/>
    <x v="18"/>
    <x v="9"/>
    <x v="0"/>
    <x v="36"/>
    <x v="35"/>
    <x v="2"/>
  </r>
  <r>
    <x v="0"/>
    <x v="19"/>
    <x v="0"/>
    <x v="3"/>
    <x v="63"/>
    <x v="1"/>
    <x v="10"/>
  </r>
  <r>
    <x v="0"/>
    <x v="20"/>
    <x v="3"/>
    <x v="6"/>
    <x v="52"/>
    <x v="19"/>
    <x v="3"/>
  </r>
  <r>
    <x v="0"/>
    <x v="21"/>
    <x v="6"/>
    <x v="5"/>
    <x v="51"/>
    <x v="27"/>
    <x v="2"/>
  </r>
  <r>
    <x v="0"/>
    <x v="22"/>
    <x v="5"/>
    <x v="2"/>
    <x v="90"/>
    <x v="23"/>
    <x v="5"/>
  </r>
  <r>
    <x v="0"/>
    <x v="23"/>
    <x v="2"/>
    <x v="14"/>
    <x v="67"/>
    <x v="13"/>
    <x v="11"/>
  </r>
  <r>
    <x v="0"/>
    <x v="24"/>
    <x v="14"/>
    <x v="13"/>
    <x v="256"/>
    <x v="69"/>
    <x v="0"/>
  </r>
  <r>
    <x v="0"/>
    <x v="25"/>
    <x v="13"/>
    <x v="10"/>
    <x v="42"/>
    <x v="62"/>
    <x v="1"/>
  </r>
  <r>
    <x v="0"/>
    <x v="26"/>
    <x v="10"/>
    <x v="29"/>
    <x v="219"/>
    <x v="46"/>
    <x v="16"/>
  </r>
  <r>
    <x v="0"/>
    <x v="27"/>
    <x v="29"/>
    <x v="16"/>
    <x v="180"/>
    <x v="154"/>
    <x v="0"/>
  </r>
  <r>
    <x v="1"/>
    <x v="28"/>
    <x v="16"/>
    <x v="29"/>
    <x v="174"/>
    <x v="96"/>
    <x v="0"/>
  </r>
  <r>
    <x v="1"/>
    <x v="29"/>
    <x v="29"/>
    <x v="15"/>
    <x v="200"/>
    <x v="153"/>
    <x v="10"/>
  </r>
  <r>
    <x v="1"/>
    <x v="30"/>
    <x v="15"/>
    <x v="30"/>
    <x v="116"/>
    <x v="86"/>
    <x v="10"/>
  </r>
  <r>
    <x v="1"/>
    <x v="31"/>
    <x v="17"/>
    <x v="22"/>
    <x v="158"/>
    <x v="103"/>
    <x v="14"/>
  </r>
  <r>
    <x v="1"/>
    <x v="32"/>
    <x v="22"/>
    <x v="46"/>
    <x v="132"/>
    <x v="128"/>
    <x v="20"/>
  </r>
  <r>
    <x v="1"/>
    <x v="33"/>
    <x v="45"/>
    <x v="42"/>
    <x v="90"/>
    <x v="193"/>
    <x v="5"/>
  </r>
  <r>
    <x v="1"/>
    <x v="34"/>
    <x v="41"/>
    <x v="39"/>
    <x v="91"/>
    <x v="183"/>
    <x v="5"/>
  </r>
  <r>
    <x v="1"/>
    <x v="35"/>
    <x v="38"/>
    <x v="38"/>
    <x v="85"/>
    <x v="178"/>
    <x v="5"/>
  </r>
  <r>
    <x v="1"/>
    <x v="36"/>
    <x v="37"/>
    <x v="11"/>
    <x v="86"/>
    <x v="177"/>
    <x v="17"/>
  </r>
  <r>
    <x v="1"/>
    <x v="37"/>
    <x v="11"/>
    <x v="15"/>
    <x v="208"/>
    <x v="50"/>
    <x v="11"/>
  </r>
  <r>
    <x v="1"/>
    <x v="38"/>
    <x v="15"/>
    <x v="11"/>
    <x v="245"/>
    <x v="78"/>
    <x v="11"/>
  </r>
  <r>
    <x v="1"/>
    <x v="39"/>
    <x v="11"/>
    <x v="10"/>
    <x v="193"/>
    <x v="49"/>
    <x v="9"/>
  </r>
  <r>
    <x v="1"/>
    <x v="40"/>
    <x v="10"/>
    <x v="0"/>
    <x v="103"/>
    <x v="39"/>
    <x v="14"/>
  </r>
  <r>
    <x v="1"/>
    <x v="41"/>
    <x v="0"/>
    <x v="9"/>
    <x v="56"/>
    <x v="3"/>
    <x v="2"/>
  </r>
  <r>
    <x v="1"/>
    <x v="42"/>
    <x v="9"/>
    <x v="15"/>
    <x v="239"/>
    <x v="38"/>
    <x v="9"/>
  </r>
  <r>
    <x v="1"/>
    <x v="43"/>
    <x v="15"/>
    <x v="6"/>
    <x v="270"/>
    <x v="76"/>
    <x v="16"/>
  </r>
  <r>
    <x v="1"/>
    <x v="44"/>
    <x v="6"/>
    <x v="5"/>
    <x v="72"/>
    <x v="27"/>
    <x v="2"/>
  </r>
  <r>
    <x v="1"/>
    <x v="45"/>
    <x v="5"/>
    <x v="3"/>
    <x v="69"/>
    <x v="24"/>
    <x v="2"/>
  </r>
  <r>
    <x v="1"/>
    <x v="46"/>
    <x v="3"/>
    <x v="2"/>
    <x v="26"/>
    <x v="17"/>
    <x v="2"/>
  </r>
  <r>
    <x v="1"/>
    <x v="47"/>
    <x v="2"/>
    <x v="9"/>
    <x v="97"/>
    <x v="10"/>
    <x v="6"/>
  </r>
  <r>
    <x v="1"/>
    <x v="48"/>
    <x v="9"/>
    <x v="8"/>
    <x v="61"/>
    <x v="37"/>
    <x v="2"/>
  </r>
  <r>
    <x v="1"/>
    <x v="49"/>
    <x v="8"/>
    <x v="22"/>
    <x v="162"/>
    <x v="34"/>
    <x v="4"/>
  </r>
  <r>
    <x v="1"/>
    <x v="50"/>
    <x v="22"/>
    <x v="24"/>
    <x v="15"/>
    <x v="124"/>
    <x v="0"/>
  </r>
  <r>
    <x v="1"/>
    <x v="51"/>
    <x v="24"/>
    <x v="2"/>
    <x v="65"/>
    <x v="131"/>
    <x v="7"/>
  </r>
  <r>
    <x v="1"/>
    <x v="52"/>
    <x v="2"/>
    <x v="13"/>
    <x v="126"/>
    <x v="12"/>
    <x v="11"/>
  </r>
  <r>
    <x v="1"/>
    <x v="53"/>
    <x v="13"/>
    <x v="12"/>
    <x v="202"/>
    <x v="63"/>
    <x v="3"/>
  </r>
  <r>
    <x v="1"/>
    <x v="54"/>
    <x v="12"/>
    <x v="15"/>
    <x v="218"/>
    <x v="59"/>
    <x v="7"/>
  </r>
  <r>
    <x v="2"/>
    <x v="55"/>
    <x v="15"/>
    <x v="17"/>
    <x v="229"/>
    <x v="81"/>
    <x v="5"/>
  </r>
  <r>
    <x v="2"/>
    <x v="56"/>
    <x v="17"/>
    <x v="16"/>
    <x v="24"/>
    <x v="101"/>
    <x v="2"/>
  </r>
  <r>
    <x v="2"/>
    <x v="57"/>
    <x v="16"/>
    <x v="10"/>
    <x v="212"/>
    <x v="89"/>
    <x v="7"/>
  </r>
  <r>
    <x v="2"/>
    <x v="58"/>
    <x v="10"/>
    <x v="11"/>
    <x v="22"/>
    <x v="41"/>
    <x v="9"/>
  </r>
  <r>
    <x v="2"/>
    <x v="59"/>
    <x v="11"/>
    <x v="30"/>
    <x v="117"/>
    <x v="54"/>
    <x v="11"/>
  </r>
  <r>
    <x v="2"/>
    <x v="60"/>
    <x v="30"/>
    <x v="35"/>
    <x v="186"/>
    <x v="165"/>
    <x v="19"/>
  </r>
  <r>
    <x v="2"/>
    <x v="61"/>
    <x v="34"/>
    <x v="40"/>
    <x v="75"/>
    <x v="173"/>
    <x v="5"/>
  </r>
  <r>
    <x v="2"/>
    <x v="62"/>
    <x v="39"/>
    <x v="41"/>
    <x v="4"/>
    <x v="180"/>
    <x v="5"/>
  </r>
  <r>
    <x v="2"/>
    <x v="63"/>
    <x v="40"/>
    <x v="43"/>
    <x v="238"/>
    <x v="182"/>
    <x v="5"/>
  </r>
  <r>
    <x v="2"/>
    <x v="64"/>
    <x v="42"/>
    <x v="44"/>
    <x v="241"/>
    <x v="186"/>
    <x v="5"/>
  </r>
  <r>
    <x v="2"/>
    <x v="65"/>
    <x v="43"/>
    <x v="37"/>
    <x v="233"/>
    <x v="188"/>
    <x v="5"/>
  </r>
  <r>
    <x v="2"/>
    <x v="66"/>
    <x v="36"/>
    <x v="28"/>
    <x v="272"/>
    <x v="175"/>
    <x v="19"/>
  </r>
  <r>
    <x v="2"/>
    <x v="67"/>
    <x v="28"/>
    <x v="16"/>
    <x v="137"/>
    <x v="144"/>
    <x v="10"/>
  </r>
  <r>
    <x v="2"/>
    <x v="68"/>
    <x v="16"/>
    <x v="15"/>
    <x v="13"/>
    <x v="90"/>
    <x v="3"/>
  </r>
  <r>
    <x v="2"/>
    <x v="69"/>
    <x v="15"/>
    <x v="28"/>
    <x v="6"/>
    <x v="85"/>
    <x v="0"/>
  </r>
  <r>
    <x v="2"/>
    <x v="70"/>
    <x v="28"/>
    <x v="29"/>
    <x v="209"/>
    <x v="147"/>
    <x v="10"/>
  </r>
  <r>
    <x v="2"/>
    <x v="71"/>
    <x v="29"/>
    <x v="28"/>
    <x v="169"/>
    <x v="157"/>
    <x v="10"/>
  </r>
  <r>
    <x v="2"/>
    <x v="72"/>
    <x v="15"/>
    <x v="30"/>
    <x v="33"/>
    <x v="86"/>
    <x v="10"/>
  </r>
  <r>
    <x v="2"/>
    <x v="73"/>
    <x v="30"/>
    <x v="29"/>
    <x v="257"/>
    <x v="164"/>
    <x v="10"/>
  </r>
  <r>
    <x v="2"/>
    <x v="74"/>
    <x v="29"/>
    <x v="14"/>
    <x v="165"/>
    <x v="152"/>
    <x v="15"/>
  </r>
  <r>
    <x v="2"/>
    <x v="75"/>
    <x v="13"/>
    <x v="0"/>
    <x v="271"/>
    <x v="61"/>
    <x v="16"/>
  </r>
  <r>
    <x v="2"/>
    <x v="76"/>
    <x v="0"/>
    <x v="9"/>
    <x v="99"/>
    <x v="3"/>
    <x v="2"/>
  </r>
  <r>
    <x v="2"/>
    <x v="77"/>
    <x v="0"/>
    <x v="9"/>
    <x v="47"/>
    <x v="3"/>
    <x v="2"/>
  </r>
  <r>
    <x v="2"/>
    <x v="78"/>
    <x v="9"/>
    <x v="8"/>
    <x v="48"/>
    <x v="37"/>
    <x v="2"/>
  </r>
  <r>
    <x v="2"/>
    <x v="79"/>
    <x v="8"/>
    <x v="6"/>
    <x v="266"/>
    <x v="30"/>
    <x v="7"/>
  </r>
  <r>
    <x v="3"/>
    <x v="80"/>
    <x v="6"/>
    <x v="5"/>
    <x v="71"/>
    <x v="27"/>
    <x v="2"/>
  </r>
  <r>
    <x v="3"/>
    <x v="81"/>
    <x v="5"/>
    <x v="3"/>
    <x v="54"/>
    <x v="24"/>
    <x v="2"/>
  </r>
  <r>
    <x v="3"/>
    <x v="82"/>
    <x v="3"/>
    <x v="2"/>
    <x v="108"/>
    <x v="17"/>
    <x v="2"/>
  </r>
  <r>
    <x v="3"/>
    <x v="83"/>
    <x v="2"/>
    <x v="14"/>
    <x v="152"/>
    <x v="13"/>
    <x v="11"/>
  </r>
  <r>
    <x v="3"/>
    <x v="84"/>
    <x v="14"/>
    <x v="30"/>
    <x v="263"/>
    <x v="73"/>
    <x v="10"/>
  </r>
  <r>
    <x v="3"/>
    <x v="85"/>
    <x v="30"/>
    <x v="29"/>
    <x v="134"/>
    <x v="164"/>
    <x v="10"/>
  </r>
  <r>
    <x v="3"/>
    <x v="86"/>
    <x v="29"/>
    <x v="16"/>
    <x v="121"/>
    <x v="154"/>
    <x v="0"/>
  </r>
  <r>
    <x v="3"/>
    <x v="87"/>
    <x v="16"/>
    <x v="29"/>
    <x v="168"/>
    <x v="96"/>
    <x v="0"/>
  </r>
  <r>
    <x v="3"/>
    <x v="88"/>
    <x v="29"/>
    <x v="11"/>
    <x v="244"/>
    <x v="150"/>
    <x v="15"/>
  </r>
  <r>
    <x v="3"/>
    <x v="89"/>
    <x v="11"/>
    <x v="10"/>
    <x v="27"/>
    <x v="49"/>
    <x v="9"/>
  </r>
  <r>
    <x v="3"/>
    <x v="90"/>
    <x v="10"/>
    <x v="24"/>
    <x v="260"/>
    <x v="45"/>
    <x v="13"/>
  </r>
  <r>
    <x v="3"/>
    <x v="91"/>
    <x v="24"/>
    <x v="14"/>
    <x v="43"/>
    <x v="132"/>
    <x v="7"/>
  </r>
  <r>
    <x v="3"/>
    <x v="92"/>
    <x v="14"/>
    <x v="10"/>
    <x v="182"/>
    <x v="67"/>
    <x v="10"/>
  </r>
  <r>
    <x v="3"/>
    <x v="93"/>
    <x v="10"/>
    <x v="0"/>
    <x v="164"/>
    <x v="39"/>
    <x v="14"/>
  </r>
  <r>
    <x v="3"/>
    <x v="94"/>
    <x v="0"/>
    <x v="17"/>
    <x v="92"/>
    <x v="7"/>
    <x v="15"/>
  </r>
  <r>
    <x v="3"/>
    <x v="95"/>
    <x v="17"/>
    <x v="28"/>
    <x v="196"/>
    <x v="104"/>
    <x v="10"/>
  </r>
  <r>
    <x v="3"/>
    <x v="96"/>
    <x v="28"/>
    <x v="15"/>
    <x v="227"/>
    <x v="143"/>
    <x v="0"/>
  </r>
  <r>
    <x v="3"/>
    <x v="97"/>
    <x v="15"/>
    <x v="28"/>
    <x v="156"/>
    <x v="85"/>
    <x v="0"/>
  </r>
  <r>
    <x v="3"/>
    <x v="98"/>
    <x v="28"/>
    <x v="16"/>
    <x v="7"/>
    <x v="144"/>
    <x v="10"/>
  </r>
  <r>
    <x v="3"/>
    <x v="99"/>
    <x v="16"/>
    <x v="8"/>
    <x v="274"/>
    <x v="88"/>
    <x v="15"/>
  </r>
  <r>
    <x v="3"/>
    <x v="100"/>
    <x v="8"/>
    <x v="21"/>
    <x v="59"/>
    <x v="33"/>
    <x v="0"/>
  </r>
  <r>
    <x v="3"/>
    <x v="101"/>
    <x v="21"/>
    <x v="8"/>
    <x v="55"/>
    <x v="117"/>
    <x v="0"/>
  </r>
  <r>
    <x v="3"/>
    <x v="102"/>
    <x v="8"/>
    <x v="14"/>
    <x v="38"/>
    <x v="32"/>
    <x v="8"/>
  </r>
  <r>
    <x v="3"/>
    <x v="103"/>
    <x v="14"/>
    <x v="2"/>
    <x v="262"/>
    <x v="65"/>
    <x v="10"/>
  </r>
  <r>
    <x v="3"/>
    <x v="104"/>
    <x v="2"/>
    <x v="9"/>
    <x v="275"/>
    <x v="10"/>
    <x v="6"/>
  </r>
  <r>
    <x v="3"/>
    <x v="105"/>
    <x v="9"/>
    <x v="3"/>
    <x v="253"/>
    <x v="36"/>
    <x v="6"/>
  </r>
  <r>
    <x v="4"/>
    <x v="106"/>
    <x v="3"/>
    <x v="30"/>
    <x v="278"/>
    <x v="20"/>
    <x v="10"/>
  </r>
  <r>
    <x v="4"/>
    <x v="107"/>
    <x v="30"/>
    <x v="16"/>
    <x v="28"/>
    <x v="162"/>
    <x v="10"/>
  </r>
  <r>
    <x v="4"/>
    <x v="108"/>
    <x v="29"/>
    <x v="12"/>
    <x v="204"/>
    <x v="151"/>
    <x v="15"/>
  </r>
  <r>
    <x v="4"/>
    <x v="109"/>
    <x v="12"/>
    <x v="2"/>
    <x v="247"/>
    <x v="55"/>
    <x v="10"/>
  </r>
  <r>
    <x v="4"/>
    <x v="110"/>
    <x v="2"/>
    <x v="14"/>
    <x v="191"/>
    <x v="13"/>
    <x v="11"/>
  </r>
  <r>
    <x v="4"/>
    <x v="111"/>
    <x v="14"/>
    <x v="7"/>
    <x v="230"/>
    <x v="66"/>
    <x v="12"/>
  </r>
  <r>
    <x v="4"/>
    <x v="112"/>
    <x v="7"/>
    <x v="0"/>
    <x v="261"/>
    <x v="29"/>
    <x v="7"/>
  </r>
  <r>
    <x v="4"/>
    <x v="113"/>
    <x v="0"/>
    <x v="7"/>
    <x v="57"/>
    <x v="2"/>
    <x v="7"/>
  </r>
  <r>
    <x v="4"/>
    <x v="114"/>
    <x v="7"/>
    <x v="0"/>
    <x v="120"/>
    <x v="29"/>
    <x v="7"/>
  </r>
  <r>
    <x v="4"/>
    <x v="115"/>
    <x v="0"/>
    <x v="14"/>
    <x v="140"/>
    <x v="5"/>
    <x v="16"/>
  </r>
  <r>
    <x v="4"/>
    <x v="116"/>
    <x v="14"/>
    <x v="12"/>
    <x v="216"/>
    <x v="68"/>
    <x v="10"/>
  </r>
  <r>
    <x v="4"/>
    <x v="117"/>
    <x v="12"/>
    <x v="10"/>
    <x v="34"/>
    <x v="57"/>
    <x v="13"/>
  </r>
  <r>
    <x v="4"/>
    <x v="118"/>
    <x v="10"/>
    <x v="29"/>
    <x v="203"/>
    <x v="46"/>
    <x v="16"/>
  </r>
  <r>
    <x v="4"/>
    <x v="119"/>
    <x v="29"/>
    <x v="28"/>
    <x v="213"/>
    <x v="157"/>
    <x v="10"/>
  </r>
  <r>
    <x v="4"/>
    <x v="120"/>
    <x v="28"/>
    <x v="30"/>
    <x v="35"/>
    <x v="148"/>
    <x v="10"/>
  </r>
  <r>
    <x v="4"/>
    <x v="121"/>
    <x v="30"/>
    <x v="10"/>
    <x v="198"/>
    <x v="161"/>
    <x v="15"/>
  </r>
  <r>
    <x v="4"/>
    <x v="122"/>
    <x v="10"/>
    <x v="11"/>
    <x v="63"/>
    <x v="41"/>
    <x v="9"/>
  </r>
  <r>
    <x v="4"/>
    <x v="123"/>
    <x v="11"/>
    <x v="29"/>
    <x v="236"/>
    <x v="53"/>
    <x v="11"/>
  </r>
  <r>
    <x v="4"/>
    <x v="124"/>
    <x v="29"/>
    <x v="31"/>
    <x v="99"/>
    <x v="158"/>
    <x v="10"/>
  </r>
  <r>
    <x v="4"/>
    <x v="125"/>
    <x v="31"/>
    <x v="32"/>
    <x v="83"/>
    <x v="168"/>
    <x v="10"/>
  </r>
  <r>
    <x v="4"/>
    <x v="126"/>
    <x v="32"/>
    <x v="32"/>
    <x v="250"/>
    <x v="171"/>
    <x v="10"/>
  </r>
  <r>
    <x v="4"/>
    <x v="127"/>
    <x v="29"/>
    <x v="32"/>
    <x v="145"/>
    <x v="159"/>
    <x v="10"/>
  </r>
  <r>
    <x v="4"/>
    <x v="128"/>
    <x v="32"/>
    <x v="15"/>
    <x v="130"/>
    <x v="169"/>
    <x v="10"/>
  </r>
  <r>
    <x v="4"/>
    <x v="129"/>
    <x v="15"/>
    <x v="30"/>
    <x v="49"/>
    <x v="86"/>
    <x v="10"/>
  </r>
  <r>
    <x v="4"/>
    <x v="130"/>
    <x v="17"/>
    <x v="16"/>
    <x v="16"/>
    <x v="101"/>
    <x v="2"/>
  </r>
  <r>
    <x v="4"/>
    <x v="131"/>
    <x v="16"/>
    <x v="21"/>
    <x v="159"/>
    <x v="92"/>
    <x v="15"/>
  </r>
  <r>
    <x v="4"/>
    <x v="132"/>
    <x v="15"/>
    <x v="21"/>
    <x v="150"/>
    <x v="83"/>
    <x v="16"/>
  </r>
  <r>
    <x v="4"/>
    <x v="133"/>
    <x v="21"/>
    <x v="21"/>
    <x v="110"/>
    <x v="119"/>
    <x v="0"/>
  </r>
  <r>
    <x v="4"/>
    <x v="134"/>
    <x v="4"/>
    <x v="21"/>
    <x v="66"/>
    <x v="22"/>
    <x v="13"/>
  </r>
  <r>
    <x v="4"/>
    <x v="135"/>
    <x v="21"/>
    <x v="4"/>
    <x v="109"/>
    <x v="116"/>
    <x v="13"/>
  </r>
  <r>
    <x v="4"/>
    <x v="136"/>
    <x v="4"/>
    <x v="16"/>
    <x v="190"/>
    <x v="21"/>
    <x v="12"/>
  </r>
  <r>
    <x v="4"/>
    <x v="137"/>
    <x v="16"/>
    <x v="15"/>
    <x v="163"/>
    <x v="90"/>
    <x v="3"/>
  </r>
  <r>
    <x v="4"/>
    <x v="138"/>
    <x v="16"/>
    <x v="15"/>
    <x v="221"/>
    <x v="90"/>
    <x v="3"/>
  </r>
  <r>
    <x v="4"/>
    <x v="139"/>
    <x v="15"/>
    <x v="28"/>
    <x v="211"/>
    <x v="85"/>
    <x v="0"/>
  </r>
  <r>
    <x v="4"/>
    <x v="140"/>
    <x v="28"/>
    <x v="29"/>
    <x v="168"/>
    <x v="147"/>
    <x v="10"/>
  </r>
  <r>
    <x v="5"/>
    <x v="141"/>
    <x v="29"/>
    <x v="28"/>
    <x v="8"/>
    <x v="157"/>
    <x v="10"/>
  </r>
  <r>
    <x v="5"/>
    <x v="142"/>
    <x v="28"/>
    <x v="3"/>
    <x v="1"/>
    <x v="141"/>
    <x v="16"/>
  </r>
  <r>
    <x v="5"/>
    <x v="143"/>
    <x v="3"/>
    <x v="5"/>
    <x v="246"/>
    <x v="18"/>
    <x v="2"/>
  </r>
  <r>
    <x v="5"/>
    <x v="144"/>
    <x v="5"/>
    <x v="3"/>
    <x v="231"/>
    <x v="24"/>
    <x v="2"/>
  </r>
  <r>
    <x v="5"/>
    <x v="145"/>
    <x v="3"/>
    <x v="6"/>
    <x v="252"/>
    <x v="19"/>
    <x v="3"/>
  </r>
  <r>
    <x v="5"/>
    <x v="146"/>
    <x v="6"/>
    <x v="3"/>
    <x v="74"/>
    <x v="26"/>
    <x v="3"/>
  </r>
  <r>
    <x v="5"/>
    <x v="147"/>
    <x v="3"/>
    <x v="5"/>
    <x v="50"/>
    <x v="18"/>
    <x v="2"/>
  </r>
  <r>
    <x v="5"/>
    <x v="148"/>
    <x v="5"/>
    <x v="6"/>
    <x v="60"/>
    <x v="25"/>
    <x v="3"/>
  </r>
  <r>
    <x v="5"/>
    <x v="149"/>
    <x v="6"/>
    <x v="15"/>
    <x v="21"/>
    <x v="28"/>
    <x v="13"/>
  </r>
  <r>
    <x v="5"/>
    <x v="150"/>
    <x v="15"/>
    <x v="17"/>
    <x v="11"/>
    <x v="81"/>
    <x v="5"/>
  </r>
  <r>
    <x v="5"/>
    <x v="151"/>
    <x v="17"/>
    <x v="0"/>
    <x v="240"/>
    <x v="97"/>
    <x v="15"/>
  </r>
  <r>
    <x v="5"/>
    <x v="152"/>
    <x v="0"/>
    <x v="17"/>
    <x v="76"/>
    <x v="7"/>
    <x v="15"/>
  </r>
  <r>
    <x v="5"/>
    <x v="153"/>
    <x v="17"/>
    <x v="30"/>
    <x v="142"/>
    <x v="106"/>
    <x v="0"/>
  </r>
  <r>
    <x v="5"/>
    <x v="154"/>
    <x v="30"/>
    <x v="17"/>
    <x v="139"/>
    <x v="163"/>
    <x v="0"/>
  </r>
  <r>
    <x v="5"/>
    <x v="155"/>
    <x v="17"/>
    <x v="16"/>
    <x v="9"/>
    <x v="101"/>
    <x v="2"/>
  </r>
  <r>
    <x v="5"/>
    <x v="156"/>
    <x v="16"/>
    <x v="15"/>
    <x v="249"/>
    <x v="90"/>
    <x v="3"/>
  </r>
  <r>
    <x v="5"/>
    <x v="157"/>
    <x v="28"/>
    <x v="14"/>
    <x v="205"/>
    <x v="142"/>
    <x v="15"/>
  </r>
  <r>
    <x v="5"/>
    <x v="158"/>
    <x v="14"/>
    <x v="16"/>
    <x v="185"/>
    <x v="70"/>
    <x v="11"/>
  </r>
  <r>
    <x v="6"/>
    <x v="159"/>
    <x v="16"/>
    <x v="22"/>
    <x v="172"/>
    <x v="93"/>
    <x v="15"/>
  </r>
  <r>
    <x v="6"/>
    <x v="160"/>
    <x v="22"/>
    <x v="21"/>
    <x v="133"/>
    <x v="123"/>
    <x v="9"/>
  </r>
  <r>
    <x v="6"/>
    <x v="161"/>
    <x v="21"/>
    <x v="12"/>
    <x v="214"/>
    <x v="118"/>
    <x v="10"/>
  </r>
  <r>
    <x v="6"/>
    <x v="162"/>
    <x v="12"/>
    <x v="11"/>
    <x v="220"/>
    <x v="58"/>
    <x v="13"/>
  </r>
  <r>
    <x v="6"/>
    <x v="163"/>
    <x v="11"/>
    <x v="10"/>
    <x v="46"/>
    <x v="49"/>
    <x v="9"/>
  </r>
  <r>
    <x v="6"/>
    <x v="164"/>
    <x v="10"/>
    <x v="16"/>
    <x v="222"/>
    <x v="44"/>
    <x v="13"/>
  </r>
  <r>
    <x v="6"/>
    <x v="165"/>
    <x v="16"/>
    <x v="10"/>
    <x v="277"/>
    <x v="89"/>
    <x v="7"/>
  </r>
  <r>
    <x v="6"/>
    <x v="166"/>
    <x v="10"/>
    <x v="34"/>
    <x v="161"/>
    <x v="47"/>
    <x v="7"/>
  </r>
  <r>
    <x v="6"/>
    <x v="167"/>
    <x v="33"/>
    <x v="11"/>
    <x v="159"/>
    <x v="172"/>
    <x v="0"/>
  </r>
  <r>
    <x v="6"/>
    <x v="168"/>
    <x v="11"/>
    <x v="16"/>
    <x v="187"/>
    <x v="51"/>
    <x v="13"/>
  </r>
  <r>
    <x v="6"/>
    <x v="169"/>
    <x v="29"/>
    <x v="28"/>
    <x v="5"/>
    <x v="157"/>
    <x v="10"/>
  </r>
  <r>
    <x v="6"/>
    <x v="170"/>
    <x v="28"/>
    <x v="0"/>
    <x v="199"/>
    <x v="140"/>
    <x v="16"/>
  </r>
  <r>
    <x v="6"/>
    <x v="171"/>
    <x v="0"/>
    <x v="2"/>
    <x v="184"/>
    <x v="0"/>
    <x v="12"/>
  </r>
  <r>
    <x v="6"/>
    <x v="172"/>
    <x v="2"/>
    <x v="15"/>
    <x v="243"/>
    <x v="14"/>
    <x v="12"/>
  </r>
  <r>
    <x v="6"/>
    <x v="173"/>
    <x v="15"/>
    <x v="28"/>
    <x v="170"/>
    <x v="85"/>
    <x v="0"/>
  </r>
  <r>
    <x v="6"/>
    <x v="174"/>
    <x v="28"/>
    <x v="17"/>
    <x v="19"/>
    <x v="145"/>
    <x v="10"/>
  </r>
  <r>
    <x v="6"/>
    <x v="175"/>
    <x v="17"/>
    <x v="18"/>
    <x v="30"/>
    <x v="102"/>
    <x v="9"/>
  </r>
  <r>
    <x v="6"/>
    <x v="176"/>
    <x v="18"/>
    <x v="31"/>
    <x v="85"/>
    <x v="110"/>
    <x v="0"/>
  </r>
  <r>
    <x v="6"/>
    <x v="177"/>
    <x v="31"/>
    <x v="18"/>
    <x v="224"/>
    <x v="166"/>
    <x v="0"/>
  </r>
  <r>
    <x v="6"/>
    <x v="178"/>
    <x v="18"/>
    <x v="19"/>
    <x v="79"/>
    <x v="109"/>
    <x v="9"/>
  </r>
  <r>
    <x v="6"/>
    <x v="179"/>
    <x v="32"/>
    <x v="16"/>
    <x v="64"/>
    <x v="170"/>
    <x v="10"/>
  </r>
  <r>
    <x v="6"/>
    <x v="180"/>
    <x v="19"/>
    <x v="16"/>
    <x v="101"/>
    <x v="111"/>
    <x v="9"/>
  </r>
  <r>
    <x v="6"/>
    <x v="181"/>
    <x v="16"/>
    <x v="15"/>
    <x v="254"/>
    <x v="90"/>
    <x v="3"/>
  </r>
  <r>
    <x v="6"/>
    <x v="182"/>
    <x v="15"/>
    <x v="13"/>
    <x v="155"/>
    <x v="79"/>
    <x v="10"/>
  </r>
  <r>
    <x v="6"/>
    <x v="183"/>
    <x v="13"/>
    <x v="0"/>
    <x v="268"/>
    <x v="61"/>
    <x v="16"/>
  </r>
  <r>
    <x v="7"/>
    <x v="184"/>
    <x v="0"/>
    <x v="14"/>
    <x v="169"/>
    <x v="5"/>
    <x v="16"/>
  </r>
  <r>
    <x v="7"/>
    <x v="185"/>
    <x v="14"/>
    <x v="22"/>
    <x v="178"/>
    <x v="71"/>
    <x v="16"/>
  </r>
  <r>
    <x v="7"/>
    <x v="186"/>
    <x v="22"/>
    <x v="16"/>
    <x v="96"/>
    <x v="122"/>
    <x v="5"/>
  </r>
  <r>
    <x v="7"/>
    <x v="187"/>
    <x v="16"/>
    <x v="28"/>
    <x v="44"/>
    <x v="95"/>
    <x v="10"/>
  </r>
  <r>
    <x v="7"/>
    <x v="188"/>
    <x v="15"/>
    <x v="17"/>
    <x v="273"/>
    <x v="81"/>
    <x v="5"/>
  </r>
  <r>
    <x v="7"/>
    <x v="189"/>
    <x v="17"/>
    <x v="0"/>
    <x v="226"/>
    <x v="97"/>
    <x v="15"/>
  </r>
  <r>
    <x v="7"/>
    <x v="190"/>
    <x v="0"/>
    <x v="2"/>
    <x v="68"/>
    <x v="0"/>
    <x v="12"/>
  </r>
  <r>
    <x v="7"/>
    <x v="191"/>
    <x v="2"/>
    <x v="42"/>
    <x v="206"/>
    <x v="16"/>
    <x v="18"/>
  </r>
  <r>
    <x v="7"/>
    <x v="192"/>
    <x v="41"/>
    <x v="44"/>
    <x v="53"/>
    <x v="185"/>
    <x v="5"/>
  </r>
  <r>
    <x v="7"/>
    <x v="193"/>
    <x v="43"/>
    <x v="45"/>
    <x v="62"/>
    <x v="191"/>
    <x v="5"/>
  </r>
  <r>
    <x v="7"/>
    <x v="194"/>
    <x v="44"/>
    <x v="17"/>
    <x v="71"/>
    <x v="192"/>
    <x v="5"/>
  </r>
  <r>
    <x v="7"/>
    <x v="195"/>
    <x v="17"/>
    <x v="18"/>
    <x v="14"/>
    <x v="102"/>
    <x v="9"/>
  </r>
  <r>
    <x v="7"/>
    <x v="196"/>
    <x v="18"/>
    <x v="19"/>
    <x v="40"/>
    <x v="109"/>
    <x v="9"/>
  </r>
  <r>
    <x v="7"/>
    <x v="197"/>
    <x v="19"/>
    <x v="17"/>
    <x v="141"/>
    <x v="112"/>
    <x v="9"/>
  </r>
  <r>
    <x v="7"/>
    <x v="198"/>
    <x v="17"/>
    <x v="15"/>
    <x v="0"/>
    <x v="100"/>
    <x v="5"/>
  </r>
  <r>
    <x v="7"/>
    <x v="199"/>
    <x v="15"/>
    <x v="16"/>
    <x v="10"/>
    <x v="80"/>
    <x v="3"/>
  </r>
  <r>
    <x v="7"/>
    <x v="200"/>
    <x v="16"/>
    <x v="17"/>
    <x v="18"/>
    <x v="91"/>
    <x v="2"/>
  </r>
  <r>
    <x v="7"/>
    <x v="201"/>
    <x v="17"/>
    <x v="30"/>
    <x v="82"/>
    <x v="106"/>
    <x v="0"/>
  </r>
  <r>
    <x v="7"/>
    <x v="202"/>
    <x v="15"/>
    <x v="0"/>
    <x v="119"/>
    <x v="75"/>
    <x v="16"/>
  </r>
  <r>
    <x v="7"/>
    <x v="203"/>
    <x v="0"/>
    <x v="16"/>
    <x v="173"/>
    <x v="6"/>
    <x v="16"/>
  </r>
  <r>
    <x v="7"/>
    <x v="204"/>
    <x v="16"/>
    <x v="29"/>
    <x v="149"/>
    <x v="96"/>
    <x v="0"/>
  </r>
  <r>
    <x v="8"/>
    <x v="205"/>
    <x v="16"/>
    <x v="17"/>
    <x v="280"/>
    <x v="91"/>
    <x v="2"/>
  </r>
  <r>
    <x v="8"/>
    <x v="206"/>
    <x v="17"/>
    <x v="22"/>
    <x v="179"/>
    <x v="103"/>
    <x v="14"/>
  </r>
  <r>
    <x v="8"/>
    <x v="207"/>
    <x v="22"/>
    <x v="14"/>
    <x v="180"/>
    <x v="121"/>
    <x v="5"/>
  </r>
  <r>
    <x v="8"/>
    <x v="208"/>
    <x v="14"/>
    <x v="22"/>
    <x v="136"/>
    <x v="71"/>
    <x v="16"/>
  </r>
  <r>
    <x v="8"/>
    <x v="209"/>
    <x v="22"/>
    <x v="26"/>
    <x v="189"/>
    <x v="126"/>
    <x v="0"/>
  </r>
  <r>
    <x v="8"/>
    <x v="210"/>
    <x v="26"/>
    <x v="14"/>
    <x v="84"/>
    <x v="134"/>
    <x v="9"/>
  </r>
  <r>
    <x v="8"/>
    <x v="211"/>
    <x v="14"/>
    <x v="26"/>
    <x v="171"/>
    <x v="72"/>
    <x v="16"/>
  </r>
  <r>
    <x v="8"/>
    <x v="212"/>
    <x v="26"/>
    <x v="22"/>
    <x v="138"/>
    <x v="135"/>
    <x v="9"/>
  </r>
  <r>
    <x v="8"/>
    <x v="213"/>
    <x v="22"/>
    <x v="13"/>
    <x v="181"/>
    <x v="120"/>
    <x v="5"/>
  </r>
  <r>
    <x v="8"/>
    <x v="214"/>
    <x v="13"/>
    <x v="12"/>
    <x v="197"/>
    <x v="63"/>
    <x v="3"/>
  </r>
  <r>
    <x v="8"/>
    <x v="215"/>
    <x v="12"/>
    <x v="11"/>
    <x v="166"/>
    <x v="58"/>
    <x v="13"/>
  </r>
  <r>
    <x v="8"/>
    <x v="216"/>
    <x v="11"/>
    <x v="10"/>
    <x v="267"/>
    <x v="49"/>
    <x v="9"/>
  </r>
  <r>
    <x v="8"/>
    <x v="217"/>
    <x v="10"/>
    <x v="15"/>
    <x v="217"/>
    <x v="43"/>
    <x v="13"/>
  </r>
  <r>
    <x v="8"/>
    <x v="218"/>
    <x v="15"/>
    <x v="10"/>
    <x v="207"/>
    <x v="77"/>
    <x v="16"/>
  </r>
  <r>
    <x v="8"/>
    <x v="219"/>
    <x v="10"/>
    <x v="15"/>
    <x v="29"/>
    <x v="43"/>
    <x v="13"/>
  </r>
  <r>
    <x v="8"/>
    <x v="220"/>
    <x v="15"/>
    <x v="17"/>
    <x v="20"/>
    <x v="81"/>
    <x v="5"/>
  </r>
  <r>
    <x v="8"/>
    <x v="221"/>
    <x v="17"/>
    <x v="18"/>
    <x v="78"/>
    <x v="102"/>
    <x v="9"/>
  </r>
  <r>
    <x v="8"/>
    <x v="222"/>
    <x v="18"/>
    <x v="16"/>
    <x v="41"/>
    <x v="107"/>
    <x v="10"/>
  </r>
  <r>
    <x v="8"/>
    <x v="223"/>
    <x v="16"/>
    <x v="0"/>
    <x v="122"/>
    <x v="87"/>
    <x v="15"/>
  </r>
  <r>
    <x v="8"/>
    <x v="224"/>
    <x v="0"/>
    <x v="2"/>
    <x v="151"/>
    <x v="0"/>
    <x v="12"/>
  </r>
  <r>
    <x v="8"/>
    <x v="225"/>
    <x v="2"/>
    <x v="14"/>
    <x v="144"/>
    <x v="13"/>
    <x v="11"/>
  </r>
  <r>
    <x v="8"/>
    <x v="226"/>
    <x v="14"/>
    <x v="41"/>
    <x v="143"/>
    <x v="74"/>
    <x v="19"/>
  </r>
  <r>
    <x v="8"/>
    <x v="227"/>
    <x v="40"/>
    <x v="43"/>
    <x v="70"/>
    <x v="182"/>
    <x v="5"/>
  </r>
  <r>
    <x v="8"/>
    <x v="228"/>
    <x v="42"/>
    <x v="44"/>
    <x v="58"/>
    <x v="186"/>
    <x v="5"/>
  </r>
  <r>
    <x v="8"/>
    <x v="229"/>
    <x v="43"/>
    <x v="36"/>
    <x v="89"/>
    <x v="187"/>
    <x v="10"/>
  </r>
  <r>
    <x v="8"/>
    <x v="230"/>
    <x v="35"/>
    <x v="2"/>
    <x v="104"/>
    <x v="174"/>
    <x v="19"/>
  </r>
  <r>
    <x v="8"/>
    <x v="231"/>
    <x v="2"/>
    <x v="13"/>
    <x v="175"/>
    <x v="12"/>
    <x v="11"/>
  </r>
  <r>
    <x v="8"/>
    <x v="232"/>
    <x v="13"/>
    <x v="12"/>
    <x v="160"/>
    <x v="63"/>
    <x v="3"/>
  </r>
  <r>
    <x v="8"/>
    <x v="233"/>
    <x v="12"/>
    <x v="28"/>
    <x v="195"/>
    <x v="60"/>
    <x v="16"/>
  </r>
  <r>
    <x v="8"/>
    <x v="234"/>
    <x v="15"/>
    <x v="30"/>
    <x v="146"/>
    <x v="86"/>
    <x v="10"/>
  </r>
  <r>
    <x v="9"/>
    <x v="235"/>
    <x v="17"/>
    <x v="15"/>
    <x v="279"/>
    <x v="100"/>
    <x v="5"/>
  </r>
  <r>
    <x v="9"/>
    <x v="236"/>
    <x v="15"/>
    <x v="16"/>
    <x v="188"/>
    <x v="80"/>
    <x v="3"/>
  </r>
  <r>
    <x v="9"/>
    <x v="237"/>
    <x v="16"/>
    <x v="22"/>
    <x v="192"/>
    <x v="93"/>
    <x v="15"/>
  </r>
  <r>
    <x v="9"/>
    <x v="238"/>
    <x v="22"/>
    <x v="25"/>
    <x v="106"/>
    <x v="125"/>
    <x v="10"/>
  </r>
  <r>
    <x v="9"/>
    <x v="239"/>
    <x v="25"/>
    <x v="17"/>
    <x v="125"/>
    <x v="133"/>
    <x v="16"/>
  </r>
  <r>
    <x v="9"/>
    <x v="240"/>
    <x v="17"/>
    <x v="28"/>
    <x v="223"/>
    <x v="104"/>
    <x v="10"/>
  </r>
  <r>
    <x v="9"/>
    <x v="241"/>
    <x v="28"/>
    <x v="18"/>
    <x v="136"/>
    <x v="146"/>
    <x v="10"/>
  </r>
  <r>
    <x v="9"/>
    <x v="242"/>
    <x v="18"/>
    <x v="19"/>
    <x v="112"/>
    <x v="109"/>
    <x v="9"/>
  </r>
  <r>
    <x v="9"/>
    <x v="243"/>
    <x v="31"/>
    <x v="19"/>
    <x v="31"/>
    <x v="167"/>
    <x v="10"/>
  </r>
  <r>
    <x v="9"/>
    <x v="244"/>
    <x v="19"/>
    <x v="27"/>
    <x v="154"/>
    <x v="114"/>
    <x v="10"/>
  </r>
  <r>
    <x v="9"/>
    <x v="245"/>
    <x v="27"/>
    <x v="16"/>
    <x v="118"/>
    <x v="137"/>
    <x v="0"/>
  </r>
  <r>
    <x v="9"/>
    <x v="246"/>
    <x v="16"/>
    <x v="15"/>
    <x v="12"/>
    <x v="90"/>
    <x v="3"/>
  </r>
  <r>
    <x v="9"/>
    <x v="247"/>
    <x v="15"/>
    <x v="18"/>
    <x v="98"/>
    <x v="82"/>
    <x v="10"/>
  </r>
  <r>
    <x v="9"/>
    <x v="248"/>
    <x v="18"/>
    <x v="17"/>
    <x v="123"/>
    <x v="108"/>
    <x v="10"/>
  </r>
  <r>
    <x v="9"/>
    <x v="249"/>
    <x v="17"/>
    <x v="11"/>
    <x v="177"/>
    <x v="99"/>
    <x v="16"/>
  </r>
  <r>
    <x v="9"/>
    <x v="250"/>
    <x v="11"/>
    <x v="10"/>
    <x v="77"/>
    <x v="49"/>
    <x v="9"/>
  </r>
  <r>
    <x v="9"/>
    <x v="251"/>
    <x v="10"/>
    <x v="14"/>
    <x v="225"/>
    <x v="42"/>
    <x v="9"/>
  </r>
  <r>
    <x v="9"/>
    <x v="252"/>
    <x v="14"/>
    <x v="0"/>
    <x v="113"/>
    <x v="64"/>
    <x v="10"/>
  </r>
  <r>
    <x v="9"/>
    <x v="253"/>
    <x v="0"/>
    <x v="44"/>
    <x v="95"/>
    <x v="8"/>
    <x v="19"/>
  </r>
  <r>
    <x v="9"/>
    <x v="254"/>
    <x v="43"/>
    <x v="42"/>
    <x v="73"/>
    <x v="190"/>
    <x v="10"/>
  </r>
  <r>
    <x v="9"/>
    <x v="255"/>
    <x v="41"/>
    <x v="40"/>
    <x v="32"/>
    <x v="184"/>
    <x v="10"/>
  </r>
  <r>
    <x v="9"/>
    <x v="256"/>
    <x v="39"/>
    <x v="0"/>
    <x v="81"/>
    <x v="179"/>
    <x v="19"/>
  </r>
  <r>
    <x v="9"/>
    <x v="257"/>
    <x v="0"/>
    <x v="17"/>
    <x v="242"/>
    <x v="7"/>
    <x v="15"/>
  </r>
  <r>
    <x v="9"/>
    <x v="258"/>
    <x v="17"/>
    <x v="16"/>
    <x v="102"/>
    <x v="101"/>
    <x v="2"/>
  </r>
  <r>
    <x v="9"/>
    <x v="259"/>
    <x v="16"/>
    <x v="27"/>
    <x v="88"/>
    <x v="94"/>
    <x v="0"/>
  </r>
  <r>
    <x v="9"/>
    <x v="260"/>
    <x v="27"/>
    <x v="15"/>
    <x v="153"/>
    <x v="136"/>
    <x v="10"/>
  </r>
  <r>
    <x v="9"/>
    <x v="261"/>
    <x v="15"/>
    <x v="27"/>
    <x v="131"/>
    <x v="84"/>
    <x v="10"/>
  </r>
  <r>
    <x v="10"/>
    <x v="262"/>
    <x v="27"/>
    <x v="17"/>
    <x v="23"/>
    <x v="138"/>
    <x v="10"/>
  </r>
  <r>
    <x v="10"/>
    <x v="263"/>
    <x v="17"/>
    <x v="16"/>
    <x v="127"/>
    <x v="101"/>
    <x v="2"/>
  </r>
  <r>
    <x v="10"/>
    <x v="264"/>
    <x v="16"/>
    <x v="27"/>
    <x v="124"/>
    <x v="94"/>
    <x v="0"/>
  </r>
  <r>
    <x v="10"/>
    <x v="265"/>
    <x v="27"/>
    <x v="15"/>
    <x v="157"/>
    <x v="136"/>
    <x v="10"/>
  </r>
  <r>
    <x v="10"/>
    <x v="266"/>
    <x v="15"/>
    <x v="16"/>
    <x v="25"/>
    <x v="80"/>
    <x v="3"/>
  </r>
  <r>
    <x v="10"/>
    <x v="267"/>
    <x v="16"/>
    <x v="27"/>
    <x v="107"/>
    <x v="94"/>
    <x v="0"/>
  </r>
  <r>
    <x v="10"/>
    <x v="268"/>
    <x v="27"/>
    <x v="18"/>
    <x v="114"/>
    <x v="139"/>
    <x v="10"/>
  </r>
  <r>
    <x v="10"/>
    <x v="269"/>
    <x v="18"/>
    <x v="19"/>
    <x v="237"/>
    <x v="109"/>
    <x v="9"/>
  </r>
  <r>
    <x v="10"/>
    <x v="270"/>
    <x v="19"/>
    <x v="20"/>
    <x v="87"/>
    <x v="113"/>
    <x v="10"/>
  </r>
  <r>
    <x v="10"/>
    <x v="271"/>
    <x v="20"/>
    <x v="17"/>
    <x v="259"/>
    <x v="115"/>
    <x v="10"/>
  </r>
  <r>
    <x v="10"/>
    <x v="272"/>
    <x v="17"/>
    <x v="2"/>
    <x v="128"/>
    <x v="98"/>
    <x v="14"/>
  </r>
  <r>
    <x v="11"/>
    <x v="273"/>
    <x v="2"/>
    <x v="23"/>
    <x v="269"/>
    <x v="15"/>
    <x v="10"/>
  </r>
  <r>
    <x v="11"/>
    <x v="274"/>
    <x v="23"/>
    <x v="10"/>
    <x v="136"/>
    <x v="130"/>
    <x v="10"/>
  </r>
  <r>
    <x v="11"/>
    <x v="275"/>
    <x v="10"/>
    <x v="11"/>
    <x v="258"/>
    <x v="41"/>
    <x v="9"/>
  </r>
  <r>
    <x v="11"/>
    <x v="276"/>
    <x v="11"/>
    <x v="10"/>
    <x v="215"/>
    <x v="49"/>
    <x v="9"/>
  </r>
  <r>
    <x v="11"/>
    <x v="277"/>
    <x v="10"/>
    <x v="0"/>
    <x v="147"/>
    <x v="39"/>
    <x v="14"/>
  </r>
  <r>
    <x v="11"/>
    <x v="278"/>
    <x v="0"/>
    <x v="11"/>
    <x v="255"/>
    <x v="4"/>
    <x v="16"/>
  </r>
  <r>
    <x v="11"/>
    <x v="279"/>
    <x v="11"/>
    <x v="10"/>
    <x v="183"/>
    <x v="49"/>
    <x v="9"/>
  </r>
  <r>
    <x v="11"/>
    <x v="280"/>
    <x v="10"/>
    <x v="2"/>
    <x v="180"/>
    <x v="40"/>
    <x v="13"/>
  </r>
  <r>
    <x v="11"/>
    <x v="281"/>
    <x v="2"/>
    <x v="11"/>
    <x v="248"/>
    <x v="11"/>
    <x v="13"/>
  </r>
  <r>
    <x v="11"/>
    <x v="282"/>
    <x v="11"/>
    <x v="17"/>
    <x v="37"/>
    <x v="52"/>
    <x v="11"/>
  </r>
  <r>
    <x v="11"/>
    <x v="283"/>
    <x v="17"/>
    <x v="2"/>
    <x v="135"/>
    <x v="98"/>
    <x v="14"/>
  </r>
  <r>
    <x v="11"/>
    <x v="284"/>
    <x v="2"/>
    <x v="23"/>
    <x v="264"/>
    <x v="15"/>
    <x v="10"/>
  </r>
  <r>
    <x v="11"/>
    <x v="285"/>
    <x v="23"/>
    <x v="0"/>
    <x v="115"/>
    <x v="129"/>
    <x v="16"/>
  </r>
  <r>
    <x v="11"/>
    <x v="286"/>
    <x v="0"/>
    <x v="44"/>
    <x v="17"/>
    <x v="8"/>
    <x v="19"/>
  </r>
  <r>
    <x v="11"/>
    <x v="287"/>
    <x v="43"/>
    <x v="41"/>
    <x v="94"/>
    <x v="189"/>
    <x v="10"/>
  </r>
  <r>
    <x v="11"/>
    <x v="288"/>
    <x v="40"/>
    <x v="39"/>
    <x v="100"/>
    <x v="181"/>
    <x v="19"/>
  </r>
  <r>
    <x v="11"/>
    <x v="289"/>
    <x v="38"/>
    <x v="38"/>
    <x v="80"/>
    <x v="178"/>
    <x v="5"/>
  </r>
  <r>
    <x v="11"/>
    <x v="290"/>
    <x v="37"/>
    <x v="9"/>
    <x v="93"/>
    <x v="176"/>
    <x v="19"/>
  </r>
  <r>
    <x v="11"/>
    <x v="291"/>
    <x v="9"/>
    <x v="8"/>
    <x v="234"/>
    <x v="37"/>
    <x v="2"/>
  </r>
  <r>
    <x v="11"/>
    <x v="292"/>
    <x v="8"/>
    <x v="14"/>
    <x v="194"/>
    <x v="32"/>
    <x v="8"/>
  </r>
  <r>
    <x v="11"/>
    <x v="293"/>
    <x v="14"/>
    <x v="12"/>
    <x v="251"/>
    <x v="68"/>
    <x v="10"/>
  </r>
  <r>
    <x v="11"/>
    <x v="294"/>
    <x v="12"/>
    <x v="6"/>
    <x v="45"/>
    <x v="56"/>
    <x v="1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ela dinâmica1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L3:N16" firstHeaderRow="0" firstDataRow="1" firstDataCol="1"/>
  <pivotFields count="7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  <pivotField showAll="0"/>
    <pivotField showAll="0"/>
    <pivotField showAll="0"/>
    <pivotField dataField="1" showAll="0"/>
  </pivotFields>
  <rowFields count="1">
    <field x="0"/>
  </rowFields>
  <rowItems count="13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 v="12"/>
    </i>
  </rowItems>
  <colFields count="1">
    <field x="-2"/>
  </colFields>
  <colItems count="1">
    <i t="grand">
      <x v="0"/>
    </i>
  </colItems>
  <dataFields count="2">
    <dataField name="Contagem de De " fld="2" subtotal="count" numFmtId="164"/>
    <dataField name="Soma de Perda estimada" fld="6" subtotal="sum" numFmtId="164"/>
  </dataFields>
  <formats count="6">
    <format dxfId="10">
      <pivotArea dataOnly="0" outline="0" fieldPosition="0"/>
    </format>
    <format dxfId="11">
      <pivotArea outline="0" fieldPosition="0"/>
    </format>
    <format dxfId="12">
      <pivotArea dataOnly="0" labelOnly="1" outline="0" fieldPosition="0"/>
    </format>
    <format dxfId="13">
      <pivotArea dataOnly="0" labelOnly="1" fieldPosition="0">
        <references count="1">
          <reference field="0" count="1"/>
        </references>
      </pivotArea>
    </format>
    <format dxfId="14">
      <pivotArea dataOnly="0" labelOnly="1" outline="0" fieldPosition="0"/>
    </format>
    <format dxfId="15">
      <pivotArea dataOnly="0" labelOnly="1" outline="0" fieldPosition="0">
        <references count="1">
          <reference field="4294967294" count="1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ivotTable" Target="../pivotTables/pivot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21" activeCellId="0" sqref="G2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4.43"/>
    <col collapsed="false" customWidth="true" hidden="false" outlineLevel="0" max="16384" min="16384" style="0" width="9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customFormat="false" ht="15" hidden="false" customHeight="false" outlineLevel="0" collapsed="false">
      <c r="A2" s="1" t="s">
        <v>1</v>
      </c>
      <c r="B2" s="2" t="n">
        <v>0</v>
      </c>
      <c r="C2" s="2" t="n">
        <v>0</v>
      </c>
      <c r="D2" s="2" t="n">
        <v>30</v>
      </c>
      <c r="E2" s="3" t="n">
        <v>20</v>
      </c>
      <c r="F2" s="3" t="n">
        <v>25</v>
      </c>
      <c r="G2" s="3" t="n">
        <v>35</v>
      </c>
      <c r="H2" s="3" t="n">
        <v>40</v>
      </c>
      <c r="I2" s="3" t="n">
        <v>0</v>
      </c>
      <c r="J2" s="3" t="n">
        <v>35</v>
      </c>
      <c r="K2" s="3" t="n">
        <v>35</v>
      </c>
      <c r="L2" s="3" t="n">
        <v>70</v>
      </c>
      <c r="M2" s="3" t="n">
        <v>40</v>
      </c>
      <c r="N2" s="3" t="n">
        <v>0</v>
      </c>
      <c r="O2" s="3" t="n">
        <v>35</v>
      </c>
      <c r="P2" s="3" t="n">
        <v>20</v>
      </c>
      <c r="Q2" s="3" t="n">
        <v>20</v>
      </c>
      <c r="R2" s="3" t="n">
        <v>35</v>
      </c>
      <c r="S2" s="3" t="n">
        <v>40</v>
      </c>
      <c r="T2" s="3" t="n">
        <v>40</v>
      </c>
      <c r="U2" s="3" t="n">
        <v>40</v>
      </c>
      <c r="V2" s="3" t="n">
        <v>50</v>
      </c>
      <c r="W2" s="3" t="n">
        <v>55</v>
      </c>
      <c r="X2" s="3" t="n">
        <v>60</v>
      </c>
      <c r="Y2" s="3" t="n">
        <v>65</v>
      </c>
      <c r="Z2" s="3" t="n">
        <v>30</v>
      </c>
      <c r="AA2" s="3" t="n">
        <v>30</v>
      </c>
    </row>
    <row r="3" customFormat="false" ht="15" hidden="false" customHeight="false" outlineLevel="0" collapsed="false">
      <c r="A3" s="1" t="s">
        <v>2</v>
      </c>
      <c r="B3" s="2" t="n">
        <v>0</v>
      </c>
      <c r="C3" s="2" t="n">
        <v>0</v>
      </c>
      <c r="D3" s="2" t="n">
        <v>30</v>
      </c>
      <c r="E3" s="3" t="n">
        <v>20</v>
      </c>
      <c r="F3" s="3" t="n">
        <v>25</v>
      </c>
      <c r="G3" s="3" t="n">
        <v>30</v>
      </c>
      <c r="H3" s="3" t="n">
        <v>40</v>
      </c>
      <c r="I3" s="3" t="n">
        <v>0</v>
      </c>
      <c r="J3" s="3" t="n">
        <v>30</v>
      </c>
      <c r="K3" s="3" t="n">
        <v>30</v>
      </c>
      <c r="L3" s="3" t="n">
        <v>60</v>
      </c>
      <c r="M3" s="3" t="n">
        <v>40</v>
      </c>
      <c r="N3" s="3" t="n">
        <v>0</v>
      </c>
      <c r="O3" s="3" t="n">
        <v>30</v>
      </c>
      <c r="P3" s="3" t="n">
        <v>20</v>
      </c>
      <c r="Q3" s="3" t="n">
        <v>35</v>
      </c>
      <c r="R3" s="3" t="n">
        <v>35</v>
      </c>
      <c r="S3" s="3" t="n">
        <v>40</v>
      </c>
      <c r="T3" s="3" t="n">
        <v>40</v>
      </c>
      <c r="U3" s="3" t="n">
        <v>40</v>
      </c>
      <c r="V3" s="3" t="n">
        <v>50</v>
      </c>
      <c r="W3" s="3" t="n">
        <v>55</v>
      </c>
      <c r="X3" s="3" t="n">
        <v>60</v>
      </c>
      <c r="Y3" s="3" t="n">
        <v>65</v>
      </c>
      <c r="Z3" s="3" t="n">
        <v>30</v>
      </c>
      <c r="AA3" s="3" t="n">
        <v>30</v>
      </c>
    </row>
    <row r="4" customFormat="false" ht="15" hidden="false" customHeight="false" outlineLevel="0" collapsed="false">
      <c r="A4" s="1" t="s">
        <v>3</v>
      </c>
      <c r="B4" s="2" t="n">
        <v>30</v>
      </c>
      <c r="C4" s="2" t="n">
        <v>30</v>
      </c>
      <c r="D4" s="2" t="n">
        <v>0</v>
      </c>
      <c r="E4" s="3" t="n">
        <v>20</v>
      </c>
      <c r="F4" s="3" t="n">
        <v>20</v>
      </c>
      <c r="G4" s="3" t="n">
        <v>20</v>
      </c>
      <c r="H4" s="3" t="n">
        <v>30</v>
      </c>
      <c r="I4" s="3" t="n">
        <v>30</v>
      </c>
      <c r="J4" s="3" t="n">
        <v>30</v>
      </c>
      <c r="K4" s="3" t="n">
        <v>30</v>
      </c>
      <c r="L4" s="3" t="n">
        <v>60</v>
      </c>
      <c r="M4" s="3" t="n">
        <v>30</v>
      </c>
      <c r="N4" s="3" t="n">
        <v>20</v>
      </c>
      <c r="O4" s="3" t="n">
        <v>20</v>
      </c>
      <c r="P4" s="3" t="n">
        <v>30</v>
      </c>
      <c r="Q4" s="3" t="n">
        <v>30</v>
      </c>
      <c r="R4" s="3" t="n">
        <v>20</v>
      </c>
      <c r="S4" s="3" t="n">
        <v>20</v>
      </c>
      <c r="T4" s="3" t="n">
        <v>30</v>
      </c>
      <c r="U4" s="3" t="n">
        <v>40</v>
      </c>
      <c r="V4" s="3" t="n">
        <v>50</v>
      </c>
      <c r="W4" s="3" t="n">
        <v>55</v>
      </c>
      <c r="X4" s="3" t="n">
        <v>60</v>
      </c>
      <c r="Y4" s="3" t="n">
        <v>60</v>
      </c>
      <c r="Z4" s="3" t="n">
        <v>30</v>
      </c>
      <c r="AA4" s="3" t="n">
        <v>30</v>
      </c>
    </row>
    <row r="5" customFormat="false" ht="15" hidden="false" customHeight="false" outlineLevel="0" collapsed="false">
      <c r="A5" s="1" t="s">
        <v>4</v>
      </c>
      <c r="B5" s="3" t="n">
        <v>20</v>
      </c>
      <c r="C5" s="3" t="n">
        <v>20</v>
      </c>
      <c r="D5" s="3" t="n">
        <v>20</v>
      </c>
      <c r="E5" s="2" t="n">
        <v>0</v>
      </c>
      <c r="F5" s="3" t="n">
        <v>20</v>
      </c>
      <c r="G5" s="3" t="n">
        <v>25</v>
      </c>
      <c r="H5" s="3" t="n">
        <v>30</v>
      </c>
      <c r="I5" s="3" t="n">
        <v>20</v>
      </c>
      <c r="J5" s="3" t="n">
        <v>30</v>
      </c>
      <c r="K5" s="3" t="n">
        <v>30</v>
      </c>
      <c r="L5" s="3" t="n">
        <v>50</v>
      </c>
      <c r="M5" s="3" t="n">
        <v>40</v>
      </c>
      <c r="N5" s="3" t="n">
        <v>20</v>
      </c>
      <c r="O5" s="3" t="n">
        <v>30</v>
      </c>
      <c r="P5" s="3" t="n">
        <v>20</v>
      </c>
      <c r="Q5" s="3" t="n">
        <v>0</v>
      </c>
      <c r="R5" s="3" t="n">
        <v>30</v>
      </c>
      <c r="S5" s="3" t="n">
        <v>20</v>
      </c>
      <c r="T5" s="3" t="n">
        <v>80</v>
      </c>
      <c r="U5" s="3" t="n">
        <v>80</v>
      </c>
      <c r="V5" s="3" t="n">
        <v>80</v>
      </c>
      <c r="W5" s="3" t="n">
        <v>80</v>
      </c>
      <c r="X5" s="3" t="n">
        <v>80</v>
      </c>
      <c r="Y5" s="3" t="n">
        <v>110</v>
      </c>
      <c r="Z5" s="3" t="n">
        <v>45</v>
      </c>
      <c r="AA5" s="3" t="n">
        <v>45</v>
      </c>
    </row>
    <row r="6" customFormat="false" ht="15" hidden="false" customHeight="false" outlineLevel="0" collapsed="false">
      <c r="A6" s="1" t="s">
        <v>5</v>
      </c>
      <c r="B6" s="3" t="n">
        <v>25</v>
      </c>
      <c r="C6" s="3" t="n">
        <v>20</v>
      </c>
      <c r="D6" s="3" t="n">
        <v>20</v>
      </c>
      <c r="E6" s="3" t="n">
        <v>20</v>
      </c>
      <c r="F6" s="2" t="n">
        <v>0</v>
      </c>
      <c r="G6" s="3" t="n">
        <v>25</v>
      </c>
      <c r="H6" s="3" t="n">
        <v>30</v>
      </c>
      <c r="I6" s="3" t="n">
        <v>25</v>
      </c>
      <c r="J6" s="3" t="n">
        <v>30</v>
      </c>
      <c r="K6" s="3" t="n">
        <v>30</v>
      </c>
      <c r="L6" s="3" t="n">
        <v>40</v>
      </c>
      <c r="M6" s="3" t="n">
        <v>40</v>
      </c>
      <c r="N6" s="3" t="n">
        <v>20</v>
      </c>
      <c r="O6" s="3" t="n">
        <v>30</v>
      </c>
      <c r="P6" s="3" t="n">
        <v>30</v>
      </c>
      <c r="Q6" s="3" t="n">
        <v>0</v>
      </c>
      <c r="R6" s="3" t="n">
        <v>20</v>
      </c>
      <c r="S6" s="3" t="n">
        <v>50</v>
      </c>
      <c r="T6" s="3" t="n">
        <v>80</v>
      </c>
      <c r="U6" s="3" t="n">
        <v>80</v>
      </c>
      <c r="V6" s="3" t="n">
        <v>80</v>
      </c>
      <c r="W6" s="3" t="n">
        <v>80</v>
      </c>
      <c r="X6" s="3" t="n">
        <v>80</v>
      </c>
      <c r="Y6" s="3" t="n">
        <v>100</v>
      </c>
      <c r="Z6" s="3" t="n">
        <v>45</v>
      </c>
      <c r="AA6" s="3" t="n">
        <v>45</v>
      </c>
    </row>
    <row r="7" customFormat="false" ht="15" hidden="false" customHeight="false" outlineLevel="0" collapsed="false">
      <c r="A7" s="1" t="s">
        <v>6</v>
      </c>
      <c r="B7" s="3" t="n">
        <v>30</v>
      </c>
      <c r="C7" s="3" t="n">
        <v>30</v>
      </c>
      <c r="D7" s="3" t="n">
        <v>20</v>
      </c>
      <c r="E7" s="3" t="n">
        <v>25</v>
      </c>
      <c r="F7" s="3" t="n">
        <v>25</v>
      </c>
      <c r="G7" s="2" t="n">
        <v>0</v>
      </c>
      <c r="H7" s="3" t="n">
        <v>25</v>
      </c>
      <c r="I7" s="3" t="n">
        <v>30</v>
      </c>
      <c r="J7" s="3" t="n">
        <v>0</v>
      </c>
      <c r="K7" s="3" t="n">
        <v>0</v>
      </c>
      <c r="L7" s="3" t="n">
        <v>40</v>
      </c>
      <c r="M7" s="3" t="n">
        <v>40</v>
      </c>
      <c r="N7" s="3" t="n">
        <v>35</v>
      </c>
      <c r="O7" s="3" t="n">
        <v>15</v>
      </c>
      <c r="P7" s="3" t="n">
        <v>30</v>
      </c>
      <c r="Q7" s="3" t="n">
        <v>30</v>
      </c>
      <c r="R7" s="3" t="n">
        <v>25</v>
      </c>
      <c r="S7" s="3" t="n">
        <v>30</v>
      </c>
      <c r="T7" s="3" t="n">
        <v>80</v>
      </c>
      <c r="U7" s="3" t="n">
        <v>80</v>
      </c>
      <c r="V7" s="3" t="n">
        <v>80</v>
      </c>
      <c r="W7" s="3" t="n">
        <v>80</v>
      </c>
      <c r="X7" s="3" t="n">
        <v>80</v>
      </c>
      <c r="Y7" s="3" t="n">
        <v>100</v>
      </c>
      <c r="Z7" s="3" t="n">
        <v>50</v>
      </c>
      <c r="AA7" s="3" t="n">
        <v>50</v>
      </c>
    </row>
    <row r="8" customFormat="false" ht="15" hidden="false" customHeight="false" outlineLevel="0" collapsed="false">
      <c r="A8" s="1" t="s">
        <v>7</v>
      </c>
      <c r="B8" s="3" t="n">
        <v>30</v>
      </c>
      <c r="C8" s="3" t="n">
        <v>40</v>
      </c>
      <c r="D8" s="3" t="n">
        <v>30</v>
      </c>
      <c r="E8" s="3" t="n">
        <v>30</v>
      </c>
      <c r="F8" s="3" t="n">
        <v>30</v>
      </c>
      <c r="G8" s="3" t="n">
        <v>25</v>
      </c>
      <c r="H8" s="2" t="n">
        <v>0</v>
      </c>
      <c r="I8" s="3" t="n">
        <v>40</v>
      </c>
      <c r="J8" s="3" t="n">
        <v>30</v>
      </c>
      <c r="K8" s="3" t="n">
        <v>30</v>
      </c>
      <c r="L8" s="3" t="n">
        <v>40</v>
      </c>
      <c r="M8" s="3" t="n">
        <v>30</v>
      </c>
      <c r="N8" s="3" t="n">
        <v>40</v>
      </c>
      <c r="O8" s="3" t="n">
        <v>25</v>
      </c>
      <c r="P8" s="3" t="n">
        <v>40</v>
      </c>
      <c r="Q8" s="3" t="n">
        <v>30</v>
      </c>
      <c r="R8" s="3" t="n">
        <v>30</v>
      </c>
      <c r="S8" s="3" t="n">
        <v>40</v>
      </c>
      <c r="T8" s="3" t="n">
        <v>30</v>
      </c>
      <c r="U8" s="3" t="n">
        <v>80</v>
      </c>
      <c r="V8" s="3" t="n">
        <v>80</v>
      </c>
      <c r="W8" s="3" t="n">
        <v>80</v>
      </c>
      <c r="X8" s="3" t="n">
        <v>80</v>
      </c>
      <c r="Y8" s="3" t="n">
        <v>90</v>
      </c>
      <c r="Z8" s="3" t="n">
        <v>50</v>
      </c>
      <c r="AA8" s="3" t="n">
        <v>50</v>
      </c>
    </row>
    <row r="9" customFormat="false" ht="15" hidden="false" customHeight="false" outlineLevel="0" collapsed="false">
      <c r="A9" s="1" t="s">
        <v>8</v>
      </c>
      <c r="B9" s="3" t="n">
        <v>0</v>
      </c>
      <c r="C9" s="3" t="n">
        <v>0</v>
      </c>
      <c r="D9" s="3" t="n">
        <v>30</v>
      </c>
      <c r="E9" s="3" t="n">
        <v>25</v>
      </c>
      <c r="F9" s="3" t="n">
        <v>25</v>
      </c>
      <c r="G9" s="3" t="n">
        <v>30</v>
      </c>
      <c r="H9" s="3" t="n">
        <v>40</v>
      </c>
      <c r="I9" s="2" t="n">
        <v>0</v>
      </c>
      <c r="J9" s="3" t="n">
        <v>35</v>
      </c>
      <c r="K9" s="3" t="n">
        <v>35</v>
      </c>
      <c r="L9" s="3" t="n">
        <v>70</v>
      </c>
      <c r="M9" s="3" t="n">
        <v>60</v>
      </c>
      <c r="N9" s="3" t="n">
        <v>0</v>
      </c>
      <c r="O9" s="3" t="n">
        <v>35</v>
      </c>
      <c r="P9" s="3" t="n">
        <v>20</v>
      </c>
      <c r="Q9" s="3" t="n">
        <v>35</v>
      </c>
      <c r="R9" s="3" t="n">
        <v>40</v>
      </c>
      <c r="S9" s="3" t="n">
        <v>60</v>
      </c>
      <c r="T9" s="3" t="n">
        <v>80</v>
      </c>
      <c r="U9" s="3" t="n">
        <v>80</v>
      </c>
      <c r="V9" s="3" t="n">
        <v>80</v>
      </c>
      <c r="W9" s="3" t="n">
        <v>80</v>
      </c>
      <c r="X9" s="3" t="n">
        <v>80</v>
      </c>
      <c r="Y9" s="3" t="n">
        <v>130</v>
      </c>
      <c r="Z9" s="3" t="n">
        <v>40</v>
      </c>
      <c r="AA9" s="3" t="n">
        <v>40</v>
      </c>
    </row>
    <row r="10" customFormat="false" ht="15" hidden="false" customHeight="false" outlineLevel="0" collapsed="false">
      <c r="A10" s="1" t="s">
        <v>9</v>
      </c>
      <c r="B10" s="3" t="n">
        <v>30</v>
      </c>
      <c r="C10" s="3" t="n">
        <v>30</v>
      </c>
      <c r="D10" s="3" t="n">
        <v>30</v>
      </c>
      <c r="E10" s="3" t="n">
        <v>30</v>
      </c>
      <c r="F10" s="3" t="n">
        <v>25</v>
      </c>
      <c r="G10" s="3" t="n">
        <v>0</v>
      </c>
      <c r="H10" s="3" t="n">
        <v>25</v>
      </c>
      <c r="I10" s="3" t="n">
        <v>30</v>
      </c>
      <c r="J10" s="2" t="n">
        <v>0</v>
      </c>
      <c r="K10" s="3" t="n">
        <v>15</v>
      </c>
      <c r="L10" s="3" t="n">
        <v>40</v>
      </c>
      <c r="M10" s="3" t="n">
        <v>40</v>
      </c>
      <c r="N10" s="3" t="n">
        <v>35</v>
      </c>
      <c r="O10" s="3" t="n">
        <v>10</v>
      </c>
      <c r="P10" s="3" t="n">
        <v>30</v>
      </c>
      <c r="Q10" s="3" t="n">
        <v>30</v>
      </c>
      <c r="R10" s="3" t="n">
        <v>25</v>
      </c>
      <c r="S10" s="3" t="n">
        <v>30</v>
      </c>
      <c r="T10" s="3" t="n">
        <v>80</v>
      </c>
      <c r="U10" s="3" t="n">
        <v>80</v>
      </c>
      <c r="V10" s="3" t="n">
        <v>80</v>
      </c>
      <c r="W10" s="3" t="n">
        <v>80</v>
      </c>
      <c r="X10" s="3" t="n">
        <v>80</v>
      </c>
      <c r="Y10" s="3" t="n">
        <v>100</v>
      </c>
      <c r="Z10" s="3" t="n">
        <v>45</v>
      </c>
      <c r="AA10" s="3" t="n">
        <v>45</v>
      </c>
    </row>
    <row r="11" customFormat="false" ht="15" hidden="false" customHeight="false" outlineLevel="0" collapsed="false">
      <c r="A11" s="1" t="s">
        <v>10</v>
      </c>
      <c r="B11" s="3" t="n">
        <v>30</v>
      </c>
      <c r="C11" s="3" t="n">
        <v>30</v>
      </c>
      <c r="D11" s="3" t="n">
        <v>30</v>
      </c>
      <c r="E11" s="3" t="n">
        <v>30</v>
      </c>
      <c r="F11" s="3" t="n">
        <v>25</v>
      </c>
      <c r="G11" s="3" t="n">
        <v>0</v>
      </c>
      <c r="H11" s="3" t="n">
        <v>25</v>
      </c>
      <c r="I11" s="3" t="n">
        <v>30</v>
      </c>
      <c r="J11" s="3" t="n">
        <v>0</v>
      </c>
      <c r="K11" s="2" t="n">
        <v>0</v>
      </c>
      <c r="L11" s="3" t="n">
        <v>20</v>
      </c>
      <c r="M11" s="3" t="n">
        <v>15</v>
      </c>
      <c r="N11" s="3" t="n">
        <v>40</v>
      </c>
      <c r="O11" s="3" t="n">
        <v>0</v>
      </c>
      <c r="P11" s="3" t="n">
        <v>30</v>
      </c>
      <c r="Q11" s="3" t="n">
        <v>30</v>
      </c>
      <c r="R11" s="3" t="n">
        <v>25</v>
      </c>
      <c r="S11" s="3" t="n">
        <v>20</v>
      </c>
      <c r="T11" s="3" t="n">
        <v>0</v>
      </c>
      <c r="U11" s="3" t="n">
        <v>40</v>
      </c>
      <c r="V11" s="3" t="n">
        <v>40</v>
      </c>
      <c r="W11" s="3" t="n">
        <v>40</v>
      </c>
      <c r="X11" s="3" t="n">
        <v>40</v>
      </c>
      <c r="Y11" s="3" t="n">
        <v>100</v>
      </c>
      <c r="Z11" s="3" t="n">
        <v>45</v>
      </c>
      <c r="AA11" s="3" t="n">
        <v>45</v>
      </c>
    </row>
    <row r="12" customFormat="false" ht="15" hidden="false" customHeight="false" outlineLevel="0" collapsed="false">
      <c r="A12" s="1" t="s">
        <v>12</v>
      </c>
      <c r="B12" s="3" t="n">
        <v>40</v>
      </c>
      <c r="C12" s="3" t="n">
        <v>40</v>
      </c>
      <c r="D12" s="3" t="n">
        <v>30</v>
      </c>
      <c r="E12" s="3" t="n">
        <v>40</v>
      </c>
      <c r="F12" s="3" t="n">
        <v>50</v>
      </c>
      <c r="G12" s="3" t="n">
        <v>40</v>
      </c>
      <c r="H12" s="3" t="n">
        <v>30</v>
      </c>
      <c r="I12" s="3" t="n">
        <v>60</v>
      </c>
      <c r="J12" s="3" t="n">
        <v>40</v>
      </c>
      <c r="K12" s="3" t="n">
        <v>15</v>
      </c>
      <c r="L12" s="3" t="n">
        <v>15</v>
      </c>
      <c r="M12" s="2" t="n">
        <v>0</v>
      </c>
      <c r="N12" s="3" t="n">
        <v>40</v>
      </c>
      <c r="O12" s="3" t="n">
        <v>35</v>
      </c>
      <c r="P12" s="3" t="n">
        <v>60</v>
      </c>
      <c r="Q12" s="3" t="n">
        <v>40</v>
      </c>
      <c r="R12" s="3" t="n">
        <v>35</v>
      </c>
      <c r="S12" s="3" t="n">
        <v>35</v>
      </c>
      <c r="T12" s="3" t="n">
        <v>20</v>
      </c>
      <c r="U12" s="3" t="n">
        <v>20</v>
      </c>
      <c r="V12" s="3" t="n">
        <v>15</v>
      </c>
      <c r="W12" s="3" t="n">
        <v>15</v>
      </c>
      <c r="X12" s="3" t="n">
        <v>40</v>
      </c>
      <c r="Y12" s="3" t="n">
        <v>70</v>
      </c>
      <c r="Z12" s="3" t="n">
        <v>50</v>
      </c>
      <c r="AA12" s="3" t="n">
        <v>50</v>
      </c>
    </row>
    <row r="13" customFormat="false" ht="15" hidden="false" customHeight="false" outlineLevel="0" collapsed="false">
      <c r="A13" s="1" t="s">
        <v>13</v>
      </c>
      <c r="B13" s="3" t="n">
        <v>0</v>
      </c>
      <c r="C13" s="3" t="n">
        <v>0</v>
      </c>
      <c r="D13" s="3" t="n">
        <v>30</v>
      </c>
      <c r="E13" s="3" t="n">
        <v>20</v>
      </c>
      <c r="F13" s="3" t="n">
        <v>35</v>
      </c>
      <c r="G13" s="3" t="n">
        <v>35</v>
      </c>
      <c r="H13" s="3" t="n">
        <v>40</v>
      </c>
      <c r="I13" s="3" t="n">
        <v>0</v>
      </c>
      <c r="J13" s="3" t="n">
        <v>35</v>
      </c>
      <c r="K13" s="3" t="n">
        <v>40</v>
      </c>
      <c r="L13" s="3" t="n">
        <v>40</v>
      </c>
      <c r="M13" s="3" t="n">
        <v>40</v>
      </c>
      <c r="N13" s="2" t="n">
        <v>0</v>
      </c>
      <c r="O13" s="3" t="n">
        <v>20</v>
      </c>
      <c r="P13" s="3" t="n">
        <v>20</v>
      </c>
      <c r="Q13" s="3" t="n">
        <v>30</v>
      </c>
      <c r="R13" s="3" t="n">
        <v>35</v>
      </c>
      <c r="S13" s="3" t="n">
        <v>40</v>
      </c>
      <c r="T13" s="3" t="n">
        <v>40</v>
      </c>
      <c r="U13" s="3" t="n">
        <v>50</v>
      </c>
      <c r="V13" s="3" t="n">
        <v>50</v>
      </c>
      <c r="W13" s="3" t="n">
        <v>60</v>
      </c>
      <c r="X13" s="3" t="n">
        <v>60</v>
      </c>
      <c r="Y13" s="3" t="n">
        <v>120</v>
      </c>
      <c r="Z13" s="3" t="n">
        <v>40</v>
      </c>
      <c r="AA13" s="3" t="n">
        <v>40</v>
      </c>
    </row>
    <row r="14" customFormat="false" ht="15" hidden="false" customHeight="false" outlineLevel="0" collapsed="false">
      <c r="A14" s="1" t="s">
        <v>14</v>
      </c>
      <c r="B14" s="3" t="n">
        <v>30</v>
      </c>
      <c r="C14" s="3" t="n">
        <v>30</v>
      </c>
      <c r="D14" s="3" t="n">
        <v>20</v>
      </c>
      <c r="E14" s="3" t="n">
        <v>30</v>
      </c>
      <c r="F14" s="3" t="n">
        <v>45</v>
      </c>
      <c r="G14" s="3" t="n">
        <v>15</v>
      </c>
      <c r="H14" s="3" t="n">
        <v>25</v>
      </c>
      <c r="I14" s="3" t="n">
        <v>35</v>
      </c>
      <c r="J14" s="3" t="n">
        <v>15</v>
      </c>
      <c r="K14" s="3" t="n">
        <v>0</v>
      </c>
      <c r="L14" s="3" t="n">
        <v>40</v>
      </c>
      <c r="M14" s="3" t="n">
        <v>35</v>
      </c>
      <c r="N14" s="3" t="n">
        <v>20</v>
      </c>
      <c r="O14" s="2" t="n">
        <v>0</v>
      </c>
      <c r="P14" s="3" t="n">
        <v>30</v>
      </c>
      <c r="Q14" s="3" t="n">
        <v>20</v>
      </c>
      <c r="R14" s="3" t="n">
        <v>35</v>
      </c>
      <c r="S14" s="3" t="n">
        <v>40</v>
      </c>
      <c r="T14" s="3" t="n">
        <v>15</v>
      </c>
      <c r="U14" s="3" t="n">
        <v>15</v>
      </c>
      <c r="V14" s="3" t="n">
        <v>30</v>
      </c>
      <c r="W14" s="3" t="n">
        <v>35</v>
      </c>
      <c r="X14" s="3" t="n">
        <v>50</v>
      </c>
      <c r="Y14" s="3" t="n">
        <v>100</v>
      </c>
      <c r="Z14" s="3" t="n">
        <v>50</v>
      </c>
      <c r="AA14" s="3" t="n">
        <v>50</v>
      </c>
    </row>
    <row r="15" customFormat="false" ht="15" hidden="false" customHeight="false" outlineLevel="0" collapsed="false">
      <c r="A15" s="1" t="s">
        <v>15</v>
      </c>
      <c r="B15" s="3" t="n">
        <v>20</v>
      </c>
      <c r="C15" s="3" t="n">
        <v>20</v>
      </c>
      <c r="D15" s="3" t="n">
        <v>30</v>
      </c>
      <c r="E15" s="3" t="n">
        <v>20</v>
      </c>
      <c r="F15" s="3" t="n">
        <v>30</v>
      </c>
      <c r="G15" s="3" t="n">
        <v>30</v>
      </c>
      <c r="H15" s="3" t="n">
        <v>40</v>
      </c>
      <c r="I15" s="3" t="n">
        <v>20</v>
      </c>
      <c r="J15" s="3" t="n">
        <v>30</v>
      </c>
      <c r="K15" s="3" t="n">
        <v>30</v>
      </c>
      <c r="L15" s="3" t="n">
        <v>60</v>
      </c>
      <c r="M15" s="3" t="n">
        <v>60</v>
      </c>
      <c r="N15" s="3" t="n">
        <v>20</v>
      </c>
      <c r="O15" s="3" t="n">
        <v>30</v>
      </c>
      <c r="P15" s="2" t="n">
        <v>0</v>
      </c>
      <c r="Q15" s="3" t="n">
        <v>15</v>
      </c>
      <c r="R15" s="3" t="n">
        <v>15</v>
      </c>
      <c r="S15" s="3" t="n">
        <v>15</v>
      </c>
      <c r="T15" s="3" t="n">
        <v>30</v>
      </c>
      <c r="U15" s="3" t="n">
        <v>35</v>
      </c>
      <c r="V15" s="3" t="n">
        <v>35</v>
      </c>
      <c r="W15" s="3" t="n">
        <v>35</v>
      </c>
      <c r="X15" s="3" t="n">
        <v>40</v>
      </c>
      <c r="Y15" s="3" t="n">
        <v>120</v>
      </c>
      <c r="Z15" s="3" t="n">
        <v>40</v>
      </c>
      <c r="AA15" s="3" t="n">
        <v>40</v>
      </c>
    </row>
    <row r="16" customFormat="false" ht="15" hidden="false" customHeight="false" outlineLevel="0" collapsed="false">
      <c r="A16" s="1" t="s">
        <v>16</v>
      </c>
      <c r="B16" s="3" t="n">
        <v>35</v>
      </c>
      <c r="C16" s="3" t="n">
        <v>35</v>
      </c>
      <c r="D16" s="3" t="n">
        <v>30</v>
      </c>
      <c r="E16" s="3" t="n">
        <v>0</v>
      </c>
      <c r="F16" s="3" t="n">
        <v>35</v>
      </c>
      <c r="G16" s="3" t="n">
        <v>30</v>
      </c>
      <c r="H16" s="3" t="n">
        <v>30</v>
      </c>
      <c r="I16" s="3" t="n">
        <v>35</v>
      </c>
      <c r="J16" s="3" t="n">
        <v>30</v>
      </c>
      <c r="K16" s="3" t="n">
        <v>30</v>
      </c>
      <c r="L16" s="3" t="n">
        <v>50</v>
      </c>
      <c r="M16" s="3" t="n">
        <v>40</v>
      </c>
      <c r="N16" s="3" t="n">
        <v>30</v>
      </c>
      <c r="O16" s="3" t="n">
        <v>20</v>
      </c>
      <c r="P16" s="3" t="n">
        <v>15</v>
      </c>
      <c r="Q16" s="2" t="n">
        <v>0</v>
      </c>
      <c r="R16" s="3" t="n">
        <v>15</v>
      </c>
      <c r="S16" s="3" t="n">
        <v>15</v>
      </c>
      <c r="T16" s="3" t="n">
        <v>20</v>
      </c>
      <c r="U16" s="3" t="n">
        <v>30</v>
      </c>
      <c r="V16" s="3" t="n">
        <v>30</v>
      </c>
      <c r="W16" s="3" t="n">
        <v>35</v>
      </c>
      <c r="X16" s="3" t="n">
        <v>40</v>
      </c>
      <c r="Y16" s="3" t="n">
        <v>100</v>
      </c>
      <c r="Z16" s="3" t="n">
        <v>60</v>
      </c>
      <c r="AA16" s="3" t="n">
        <v>60</v>
      </c>
    </row>
    <row r="17" customFormat="false" ht="15" hidden="false" customHeight="false" outlineLevel="0" collapsed="false">
      <c r="A17" s="1" t="s">
        <v>17</v>
      </c>
      <c r="B17" s="3" t="n">
        <v>40</v>
      </c>
      <c r="C17" s="3" t="n">
        <v>40</v>
      </c>
      <c r="D17" s="3" t="n">
        <v>20</v>
      </c>
      <c r="E17" s="3" t="n">
        <v>30</v>
      </c>
      <c r="F17" s="3" t="n">
        <v>0</v>
      </c>
      <c r="G17" s="3" t="n">
        <v>25</v>
      </c>
      <c r="H17" s="3" t="n">
        <v>30</v>
      </c>
      <c r="I17" s="3" t="n">
        <v>40</v>
      </c>
      <c r="J17" s="3" t="n">
        <v>25</v>
      </c>
      <c r="K17" s="3" t="n">
        <v>25</v>
      </c>
      <c r="L17" s="3" t="n">
        <v>40</v>
      </c>
      <c r="M17" s="3" t="n">
        <v>35</v>
      </c>
      <c r="N17" s="3" t="n">
        <v>35</v>
      </c>
      <c r="O17" s="3" t="n">
        <v>35</v>
      </c>
      <c r="P17" s="3" t="n">
        <v>15</v>
      </c>
      <c r="Q17" s="3" t="n">
        <v>15</v>
      </c>
      <c r="R17" s="4" t="n">
        <v>0</v>
      </c>
      <c r="S17" s="3" t="n">
        <v>30</v>
      </c>
      <c r="T17" s="3" t="n">
        <v>20</v>
      </c>
      <c r="U17" s="3" t="n">
        <v>30</v>
      </c>
      <c r="V17" s="3" t="n">
        <v>30</v>
      </c>
      <c r="W17" s="3" t="n">
        <v>35</v>
      </c>
      <c r="X17" s="3" t="n">
        <v>40</v>
      </c>
      <c r="Y17" s="3" t="n">
        <v>80</v>
      </c>
      <c r="Z17" s="3" t="n">
        <v>65</v>
      </c>
      <c r="AA17" s="3" t="n">
        <v>65</v>
      </c>
    </row>
    <row r="18" customFormat="false" ht="15" hidden="false" customHeight="false" outlineLevel="0" collapsed="false">
      <c r="A18" s="1" t="s">
        <v>18</v>
      </c>
      <c r="B18" s="3" t="n">
        <v>40</v>
      </c>
      <c r="C18" s="3" t="n">
        <v>60</v>
      </c>
      <c r="D18" s="3" t="n">
        <v>20</v>
      </c>
      <c r="E18" s="3" t="n">
        <v>40</v>
      </c>
      <c r="F18" s="3" t="n">
        <v>50</v>
      </c>
      <c r="G18" s="5" t="n">
        <v>30</v>
      </c>
      <c r="H18" s="3" t="n">
        <v>40</v>
      </c>
      <c r="I18" s="3" t="n">
        <v>60</v>
      </c>
      <c r="J18" s="3" t="n">
        <v>30</v>
      </c>
      <c r="K18" s="3" t="n">
        <v>20</v>
      </c>
      <c r="L18" s="3" t="n">
        <v>40</v>
      </c>
      <c r="M18" s="3" t="n">
        <v>35</v>
      </c>
      <c r="N18" s="3" t="n">
        <v>40</v>
      </c>
      <c r="O18" s="3" t="n">
        <v>40</v>
      </c>
      <c r="P18" s="3" t="n">
        <v>30</v>
      </c>
      <c r="Q18" s="3" t="n">
        <v>30</v>
      </c>
      <c r="R18" s="3" t="n">
        <v>15</v>
      </c>
      <c r="S18" s="4" t="n">
        <v>0</v>
      </c>
      <c r="T18" s="3" t="n">
        <v>15</v>
      </c>
      <c r="U18" s="3" t="n">
        <v>15</v>
      </c>
      <c r="V18" s="3" t="n">
        <v>20</v>
      </c>
      <c r="W18" s="3" t="n">
        <v>30</v>
      </c>
      <c r="X18" s="3" t="n">
        <v>35</v>
      </c>
      <c r="Y18" s="3" t="n">
        <v>80</v>
      </c>
      <c r="Z18" s="3" t="n">
        <v>70</v>
      </c>
      <c r="AA18" s="3" t="n">
        <v>70</v>
      </c>
    </row>
    <row r="19" customFormat="false" ht="15" hidden="false" customHeight="false" outlineLevel="0" collapsed="false">
      <c r="A19" s="1" t="s">
        <v>19</v>
      </c>
      <c r="B19" s="3" t="n">
        <v>40</v>
      </c>
      <c r="C19" s="3" t="n">
        <v>80</v>
      </c>
      <c r="D19" s="3" t="n">
        <v>30</v>
      </c>
      <c r="E19" s="3" t="n">
        <v>50</v>
      </c>
      <c r="F19" s="3" t="n">
        <v>80</v>
      </c>
      <c r="G19" s="3" t="n">
        <v>80</v>
      </c>
      <c r="H19" s="3" t="n">
        <v>50</v>
      </c>
      <c r="I19" s="3" t="n">
        <v>80</v>
      </c>
      <c r="J19" s="3" t="n">
        <v>80</v>
      </c>
      <c r="K19" s="3" t="n">
        <v>0</v>
      </c>
      <c r="L19" s="3" t="n">
        <v>30</v>
      </c>
      <c r="M19" s="3" t="n">
        <v>20</v>
      </c>
      <c r="N19" s="3" t="n">
        <v>40</v>
      </c>
      <c r="O19" s="3" t="n">
        <v>15</v>
      </c>
      <c r="P19" s="3" t="n">
        <v>30</v>
      </c>
      <c r="Q19" s="3" t="n">
        <v>30</v>
      </c>
      <c r="R19" s="3" t="n">
        <v>20</v>
      </c>
      <c r="S19" s="3" t="n">
        <v>20</v>
      </c>
      <c r="T19" s="4" t="n">
        <v>0</v>
      </c>
      <c r="U19" s="3" t="n">
        <v>15</v>
      </c>
      <c r="V19" s="3" t="n">
        <v>20</v>
      </c>
      <c r="W19" s="3" t="n">
        <v>20</v>
      </c>
      <c r="X19" s="3" t="n">
        <v>30</v>
      </c>
      <c r="Y19" s="3" t="n">
        <v>70</v>
      </c>
      <c r="Z19" s="3" t="n">
        <v>80</v>
      </c>
      <c r="AA19" s="3" t="n">
        <v>80</v>
      </c>
    </row>
    <row r="20" customFormat="false" ht="15" hidden="false" customHeight="false" outlineLevel="0" collapsed="false">
      <c r="A20" s="1" t="s">
        <v>20</v>
      </c>
      <c r="B20" s="3" t="n">
        <v>40</v>
      </c>
      <c r="C20" s="3" t="n">
        <v>80</v>
      </c>
      <c r="D20" s="3" t="n">
        <v>40</v>
      </c>
      <c r="E20" s="3" t="n">
        <v>50</v>
      </c>
      <c r="F20" s="3" t="n">
        <v>80</v>
      </c>
      <c r="G20" s="3" t="n">
        <v>80</v>
      </c>
      <c r="H20" s="3" t="n">
        <v>80</v>
      </c>
      <c r="I20" s="3" t="n">
        <v>80</v>
      </c>
      <c r="J20" s="3" t="n">
        <v>80</v>
      </c>
      <c r="K20" s="3" t="n">
        <v>40</v>
      </c>
      <c r="L20" s="3" t="n">
        <v>30</v>
      </c>
      <c r="M20" s="3" t="n">
        <v>20</v>
      </c>
      <c r="N20" s="3" t="n">
        <v>50</v>
      </c>
      <c r="O20" s="3" t="n">
        <v>15</v>
      </c>
      <c r="P20" s="3" t="n">
        <v>35</v>
      </c>
      <c r="Q20" s="3" t="n">
        <v>30</v>
      </c>
      <c r="R20" s="3" t="n">
        <v>30</v>
      </c>
      <c r="S20" s="3" t="n">
        <v>15</v>
      </c>
      <c r="T20" s="3" t="n">
        <v>10</v>
      </c>
      <c r="U20" s="4" t="n">
        <v>0</v>
      </c>
      <c r="V20" s="3" t="n">
        <v>20</v>
      </c>
      <c r="W20" s="3" t="n">
        <v>20</v>
      </c>
      <c r="X20" s="3" t="n">
        <v>30</v>
      </c>
      <c r="Y20" s="3" t="n">
        <v>70</v>
      </c>
      <c r="Z20" s="3" t="n">
        <v>80</v>
      </c>
      <c r="AA20" s="3" t="n">
        <v>80</v>
      </c>
    </row>
    <row r="21" customFormat="false" ht="15" hidden="false" customHeight="false" outlineLevel="0" collapsed="false">
      <c r="A21" s="1" t="s">
        <v>21</v>
      </c>
      <c r="B21" s="3" t="n">
        <v>50</v>
      </c>
      <c r="C21" s="3" t="n">
        <v>80</v>
      </c>
      <c r="D21" s="3" t="n">
        <v>50</v>
      </c>
      <c r="E21" s="3" t="n">
        <v>50</v>
      </c>
      <c r="F21" s="3" t="n">
        <v>80</v>
      </c>
      <c r="G21" s="3" t="n">
        <v>80</v>
      </c>
      <c r="H21" s="3" t="n">
        <v>80</v>
      </c>
      <c r="I21" s="3" t="n">
        <v>80</v>
      </c>
      <c r="J21" s="3" t="n">
        <v>80</v>
      </c>
      <c r="K21" s="3" t="n">
        <v>40</v>
      </c>
      <c r="L21" s="3" t="n">
        <v>40</v>
      </c>
      <c r="M21" s="3" t="n">
        <v>15</v>
      </c>
      <c r="N21" s="3" t="n">
        <v>50</v>
      </c>
      <c r="O21" s="3" t="n">
        <v>30</v>
      </c>
      <c r="P21" s="3" t="n">
        <v>35</v>
      </c>
      <c r="Q21" s="3" t="n">
        <v>30</v>
      </c>
      <c r="R21" s="3" t="n">
        <v>30</v>
      </c>
      <c r="S21" s="3" t="n">
        <v>20</v>
      </c>
      <c r="T21" s="3" t="n">
        <v>15</v>
      </c>
      <c r="U21" s="3" t="n">
        <v>15</v>
      </c>
      <c r="V21" s="4" t="n">
        <v>0</v>
      </c>
      <c r="W21" s="3" t="n">
        <v>20</v>
      </c>
      <c r="X21" s="3" t="n">
        <v>20</v>
      </c>
      <c r="Y21" s="3" t="n">
        <v>60</v>
      </c>
      <c r="Z21" s="3" t="n">
        <v>80</v>
      </c>
      <c r="AA21" s="3" t="n">
        <v>80</v>
      </c>
    </row>
    <row r="22" customFormat="false" ht="15" hidden="false" customHeight="false" outlineLevel="0" collapsed="false">
      <c r="A22" s="1" t="s">
        <v>22</v>
      </c>
      <c r="B22" s="3" t="n">
        <v>55</v>
      </c>
      <c r="C22" s="3" t="n">
        <v>80</v>
      </c>
      <c r="D22" s="3" t="n">
        <v>55</v>
      </c>
      <c r="E22" s="3" t="n">
        <v>60</v>
      </c>
      <c r="F22" s="3" t="n">
        <v>80</v>
      </c>
      <c r="G22" s="3" t="n">
        <v>80</v>
      </c>
      <c r="H22" s="3" t="n">
        <v>80</v>
      </c>
      <c r="I22" s="3" t="n">
        <v>80</v>
      </c>
      <c r="J22" s="3" t="n">
        <v>80</v>
      </c>
      <c r="K22" s="3" t="n">
        <v>40</v>
      </c>
      <c r="L22" s="3" t="n">
        <v>30</v>
      </c>
      <c r="M22" s="3" t="n">
        <v>15</v>
      </c>
      <c r="N22" s="3" t="n">
        <v>60</v>
      </c>
      <c r="O22" s="3" t="n">
        <v>35</v>
      </c>
      <c r="P22" s="3" t="n">
        <v>35</v>
      </c>
      <c r="Q22" s="3" t="n">
        <v>40</v>
      </c>
      <c r="R22" s="3" t="n">
        <v>35</v>
      </c>
      <c r="S22" s="3" t="n">
        <v>30</v>
      </c>
      <c r="T22" s="3" t="n">
        <v>15</v>
      </c>
      <c r="U22" s="3" t="n">
        <v>15</v>
      </c>
      <c r="V22" s="3" t="n">
        <v>15</v>
      </c>
      <c r="W22" s="4" t="n">
        <v>0</v>
      </c>
      <c r="X22" s="3" t="n">
        <v>15</v>
      </c>
      <c r="Y22" s="3" t="n">
        <v>50</v>
      </c>
      <c r="Z22" s="3" t="n">
        <v>100</v>
      </c>
      <c r="AA22" s="3" t="n">
        <v>100</v>
      </c>
    </row>
    <row r="23" customFormat="false" ht="15" hidden="false" customHeight="false" outlineLevel="0" collapsed="false">
      <c r="A23" s="1" t="s">
        <v>23</v>
      </c>
      <c r="B23" s="3" t="n">
        <v>60</v>
      </c>
      <c r="C23" s="3" t="n">
        <v>80</v>
      </c>
      <c r="D23" s="3" t="n">
        <v>60</v>
      </c>
      <c r="E23" s="3" t="n">
        <v>60</v>
      </c>
      <c r="F23" s="3" t="n">
        <v>80</v>
      </c>
      <c r="G23" s="3" t="n">
        <v>80</v>
      </c>
      <c r="H23" s="3" t="n">
        <v>80</v>
      </c>
      <c r="I23" s="3" t="n">
        <v>80</v>
      </c>
      <c r="J23" s="3" t="n">
        <v>80</v>
      </c>
      <c r="K23" s="3" t="n">
        <v>40</v>
      </c>
      <c r="L23" s="3" t="n">
        <v>40</v>
      </c>
      <c r="M23" s="3" t="n">
        <v>40</v>
      </c>
      <c r="N23" s="3" t="n">
        <v>60</v>
      </c>
      <c r="O23" s="3" t="n">
        <v>50</v>
      </c>
      <c r="P23" s="3" t="n">
        <v>40</v>
      </c>
      <c r="Q23" s="3" t="n">
        <v>50</v>
      </c>
      <c r="R23" s="3" t="n">
        <v>40</v>
      </c>
      <c r="S23" s="3" t="n">
        <v>35</v>
      </c>
      <c r="T23" s="3" t="n">
        <v>30</v>
      </c>
      <c r="U23" s="3" t="n">
        <v>30</v>
      </c>
      <c r="V23" s="3" t="n">
        <v>20</v>
      </c>
      <c r="W23" s="3" t="n">
        <v>15</v>
      </c>
      <c r="X23" s="4" t="n">
        <v>0</v>
      </c>
      <c r="Y23" s="3" t="n">
        <v>50</v>
      </c>
      <c r="Z23" s="3" t="n">
        <v>120</v>
      </c>
      <c r="AA23" s="3" t="n">
        <v>120</v>
      </c>
    </row>
    <row r="24" customFormat="false" ht="15" hidden="false" customHeight="false" outlineLevel="0" collapsed="false">
      <c r="A24" s="1" t="s">
        <v>11</v>
      </c>
      <c r="B24" s="3" t="n">
        <v>60</v>
      </c>
      <c r="C24" s="3" t="n">
        <v>120</v>
      </c>
      <c r="D24" s="3" t="n">
        <v>60</v>
      </c>
      <c r="E24" s="3" t="n">
        <v>50</v>
      </c>
      <c r="F24" s="3" t="n">
        <v>110</v>
      </c>
      <c r="G24" s="3" t="n">
        <v>80</v>
      </c>
      <c r="H24" s="3" t="n">
        <v>80</v>
      </c>
      <c r="I24" s="3" t="n">
        <v>120</v>
      </c>
      <c r="J24" s="3" t="n">
        <v>80</v>
      </c>
      <c r="K24" s="3" t="n">
        <v>80</v>
      </c>
      <c r="L24" s="3" t="n">
        <v>0</v>
      </c>
      <c r="M24" s="3" t="n">
        <v>15</v>
      </c>
      <c r="N24" s="3" t="n">
        <v>80</v>
      </c>
      <c r="O24" s="3" t="n">
        <v>70</v>
      </c>
      <c r="P24" s="3" t="n">
        <v>70</v>
      </c>
      <c r="Q24" s="3" t="n">
        <v>70</v>
      </c>
      <c r="R24" s="3" t="n">
        <v>70</v>
      </c>
      <c r="S24" s="3" t="n">
        <v>60</v>
      </c>
      <c r="T24" s="3" t="n">
        <v>60</v>
      </c>
      <c r="U24" s="3" t="n">
        <v>60</v>
      </c>
      <c r="V24" s="3" t="n">
        <v>60</v>
      </c>
      <c r="W24" s="3" t="n">
        <v>40</v>
      </c>
      <c r="X24" s="4" t="n">
        <v>40</v>
      </c>
      <c r="Y24" s="3" t="n">
        <v>30</v>
      </c>
      <c r="Z24" s="3" t="n">
        <v>70</v>
      </c>
      <c r="AA24" s="3" t="n">
        <v>80</v>
      </c>
    </row>
    <row r="25" customFormat="false" ht="15" hidden="false" customHeight="false" outlineLevel="0" collapsed="false">
      <c r="A25" s="1" t="s">
        <v>24</v>
      </c>
      <c r="B25" s="3" t="n">
        <v>65</v>
      </c>
      <c r="C25" s="3" t="n">
        <v>140</v>
      </c>
      <c r="D25" s="3" t="n">
        <v>60</v>
      </c>
      <c r="E25" s="3" t="n">
        <v>60</v>
      </c>
      <c r="F25" s="3" t="n">
        <v>100</v>
      </c>
      <c r="G25" s="3" t="n">
        <v>100</v>
      </c>
      <c r="H25" s="3" t="n">
        <v>90</v>
      </c>
      <c r="I25" s="3" t="n">
        <v>130</v>
      </c>
      <c r="J25" s="3" t="n">
        <v>100</v>
      </c>
      <c r="K25" s="3" t="n">
        <v>100</v>
      </c>
      <c r="L25" s="3" t="n">
        <v>30</v>
      </c>
      <c r="M25" s="3" t="n">
        <v>70</v>
      </c>
      <c r="N25" s="3" t="n">
        <v>120</v>
      </c>
      <c r="O25" s="3" t="n">
        <v>100</v>
      </c>
      <c r="P25" s="3" t="n">
        <v>120</v>
      </c>
      <c r="Q25" s="3" t="n">
        <v>100</v>
      </c>
      <c r="R25" s="3" t="n">
        <v>80</v>
      </c>
      <c r="S25" s="3" t="n">
        <v>80</v>
      </c>
      <c r="T25" s="3" t="n">
        <v>70</v>
      </c>
      <c r="U25" s="3" t="n">
        <v>70</v>
      </c>
      <c r="V25" s="3" t="n">
        <v>60</v>
      </c>
      <c r="W25" s="3" t="n">
        <v>50</v>
      </c>
      <c r="X25" s="3" t="n">
        <v>50</v>
      </c>
      <c r="Y25" s="2" t="n">
        <v>0</v>
      </c>
      <c r="Z25" s="3" t="n">
        <v>120</v>
      </c>
      <c r="AA25" s="3" t="n">
        <v>120</v>
      </c>
    </row>
    <row r="26" customFormat="false" ht="15" hidden="false" customHeight="false" outlineLevel="0" collapsed="false">
      <c r="A26" s="1" t="s">
        <v>25</v>
      </c>
      <c r="B26" s="3" t="n">
        <v>60</v>
      </c>
      <c r="C26" s="3" t="n">
        <v>60</v>
      </c>
      <c r="D26" s="3" t="n">
        <v>60</v>
      </c>
      <c r="E26" s="3" t="n">
        <v>60</v>
      </c>
      <c r="F26" s="3" t="n">
        <v>60</v>
      </c>
      <c r="G26" s="3" t="n">
        <v>60</v>
      </c>
      <c r="H26" s="3" t="n">
        <v>70</v>
      </c>
      <c r="I26" s="3" t="n">
        <v>60</v>
      </c>
      <c r="J26" s="3" t="n">
        <v>60</v>
      </c>
      <c r="K26" s="3" t="n">
        <v>60</v>
      </c>
      <c r="L26" s="3" t="n">
        <v>60</v>
      </c>
      <c r="M26" s="3" t="n">
        <v>60</v>
      </c>
      <c r="N26" s="3" t="n">
        <v>60</v>
      </c>
      <c r="O26" s="3" t="n">
        <v>60</v>
      </c>
      <c r="P26" s="3" t="n">
        <v>60</v>
      </c>
      <c r="Q26" s="3" t="n">
        <v>60</v>
      </c>
      <c r="R26" s="3" t="n">
        <v>60</v>
      </c>
      <c r="S26" s="3" t="n">
        <v>60</v>
      </c>
      <c r="T26" s="3" t="n">
        <v>60</v>
      </c>
      <c r="U26" s="3" t="n">
        <v>70</v>
      </c>
      <c r="V26" s="3" t="n">
        <v>70</v>
      </c>
      <c r="W26" s="3" t="n">
        <v>70</v>
      </c>
      <c r="X26" s="3" t="n">
        <v>70</v>
      </c>
      <c r="Y26" s="3" t="n">
        <v>70</v>
      </c>
      <c r="Z26" s="4" t="n">
        <v>0</v>
      </c>
      <c r="AA26" s="4" t="n">
        <v>10</v>
      </c>
    </row>
    <row r="27" customFormat="false" ht="15" hidden="false" customHeight="false" outlineLevel="0" collapsed="false">
      <c r="A27" s="1" t="s">
        <v>26</v>
      </c>
      <c r="B27" s="3" t="n">
        <v>60</v>
      </c>
      <c r="C27" s="3" t="n">
        <v>60</v>
      </c>
      <c r="D27" s="3" t="n">
        <v>60</v>
      </c>
      <c r="E27" s="3" t="n">
        <v>60</v>
      </c>
      <c r="F27" s="3" t="n">
        <v>60</v>
      </c>
      <c r="G27" s="3" t="n">
        <v>60</v>
      </c>
      <c r="H27" s="3" t="n">
        <v>70</v>
      </c>
      <c r="I27" s="3" t="n">
        <v>60</v>
      </c>
      <c r="J27" s="3" t="n">
        <v>60</v>
      </c>
      <c r="K27" s="3" t="n">
        <v>60</v>
      </c>
      <c r="L27" s="3" t="n">
        <v>60</v>
      </c>
      <c r="M27" s="3" t="n">
        <v>60</v>
      </c>
      <c r="N27" s="3" t="n">
        <v>60</v>
      </c>
      <c r="O27" s="3" t="n">
        <v>60</v>
      </c>
      <c r="P27" s="3" t="n">
        <v>60</v>
      </c>
      <c r="Q27" s="3" t="n">
        <v>60</v>
      </c>
      <c r="R27" s="3" t="n">
        <v>60</v>
      </c>
      <c r="S27" s="3" t="n">
        <v>60</v>
      </c>
      <c r="T27" s="3" t="n">
        <v>60</v>
      </c>
      <c r="U27" s="3" t="n">
        <v>70</v>
      </c>
      <c r="V27" s="3" t="n">
        <v>70</v>
      </c>
      <c r="W27" s="3" t="n">
        <v>70</v>
      </c>
      <c r="X27" s="3" t="n">
        <v>70</v>
      </c>
      <c r="Y27" s="3" t="n">
        <v>70</v>
      </c>
      <c r="Z27" s="4" t="n">
        <v>10</v>
      </c>
      <c r="AA27" s="4" t="n">
        <v>0</v>
      </c>
    </row>
    <row r="28" customFormat="false" ht="15" hidden="false" customHeight="false" outlineLevel="0" collapsed="false">
      <c r="A28" s="1" t="s">
        <v>27</v>
      </c>
      <c r="B28" s="3" t="n">
        <v>130</v>
      </c>
      <c r="C28" s="3" t="n">
        <v>130</v>
      </c>
      <c r="D28" s="3" t="n">
        <v>130</v>
      </c>
      <c r="E28" s="3" t="n">
        <v>130</v>
      </c>
      <c r="F28" s="3" t="n">
        <v>130</v>
      </c>
      <c r="G28" s="3" t="n">
        <v>130</v>
      </c>
      <c r="H28" s="3" t="n">
        <v>130</v>
      </c>
      <c r="I28" s="3" t="n">
        <v>130</v>
      </c>
      <c r="J28" s="3" t="n">
        <v>130</v>
      </c>
      <c r="K28" s="3" t="n">
        <v>130</v>
      </c>
      <c r="L28" s="3" t="n">
        <v>130</v>
      </c>
      <c r="M28" s="3" t="n">
        <v>130</v>
      </c>
      <c r="N28" s="3" t="n">
        <v>130</v>
      </c>
      <c r="O28" s="3" t="n">
        <v>130</v>
      </c>
      <c r="P28" s="3" t="n">
        <v>130</v>
      </c>
      <c r="Q28" s="3" t="n">
        <v>130</v>
      </c>
      <c r="R28" s="3" t="n">
        <v>130</v>
      </c>
      <c r="S28" s="3" t="n">
        <v>130</v>
      </c>
      <c r="T28" s="3" t="n">
        <v>130</v>
      </c>
      <c r="U28" s="3" t="n">
        <v>130</v>
      </c>
      <c r="V28" s="3" t="n">
        <v>130</v>
      </c>
      <c r="W28" s="3" t="n">
        <v>130</v>
      </c>
      <c r="X28" s="3" t="n">
        <v>130</v>
      </c>
      <c r="Y28" s="3" t="n">
        <v>130</v>
      </c>
      <c r="Z28" s="3" t="n">
        <v>60</v>
      </c>
      <c r="AA28" s="3" t="n">
        <v>60</v>
      </c>
    </row>
    <row r="29" customFormat="false" ht="15" hidden="false" customHeight="false" outlineLevel="0" collapsed="false">
      <c r="A29" s="1" t="s">
        <v>28</v>
      </c>
      <c r="B29" s="3" t="n">
        <v>120</v>
      </c>
      <c r="C29" s="3" t="n">
        <v>120</v>
      </c>
      <c r="D29" s="3" t="n">
        <v>120</v>
      </c>
      <c r="E29" s="3" t="n">
        <v>120</v>
      </c>
      <c r="F29" s="3" t="n">
        <v>120</v>
      </c>
      <c r="G29" s="3" t="n">
        <v>120</v>
      </c>
      <c r="H29" s="3" t="n">
        <v>120</v>
      </c>
      <c r="I29" s="3" t="n">
        <v>120</v>
      </c>
      <c r="J29" s="3" t="n">
        <v>120</v>
      </c>
      <c r="K29" s="3" t="n">
        <v>120</v>
      </c>
      <c r="L29" s="3" t="n">
        <v>120</v>
      </c>
      <c r="M29" s="3" t="n">
        <v>120</v>
      </c>
      <c r="N29" s="3" t="n">
        <v>120</v>
      </c>
      <c r="O29" s="3" t="n">
        <v>120</v>
      </c>
      <c r="P29" s="3" t="n">
        <v>120</v>
      </c>
      <c r="Q29" s="3" t="n">
        <v>120</v>
      </c>
      <c r="R29" s="3" t="n">
        <v>120</v>
      </c>
      <c r="S29" s="3" t="n">
        <v>120</v>
      </c>
      <c r="T29" s="3" t="n">
        <v>120</v>
      </c>
      <c r="U29" s="3" t="n">
        <v>120</v>
      </c>
      <c r="V29" s="3" t="n">
        <v>120</v>
      </c>
      <c r="W29" s="3" t="n">
        <v>120</v>
      </c>
      <c r="X29" s="3" t="n">
        <v>120</v>
      </c>
      <c r="Y29" s="3" t="n">
        <v>120</v>
      </c>
      <c r="Z29" s="3" t="n">
        <v>60</v>
      </c>
      <c r="AA29" s="3" t="n">
        <v>60</v>
      </c>
    </row>
    <row r="30" customFormat="false" ht="15" hidden="false" customHeight="false" outlineLevel="0" collapsed="false">
      <c r="A30" s="1" t="s">
        <v>29</v>
      </c>
      <c r="B30" s="3" t="n">
        <v>100</v>
      </c>
      <c r="C30" s="3" t="n">
        <v>100</v>
      </c>
      <c r="D30" s="3" t="n">
        <v>100</v>
      </c>
      <c r="E30" s="3" t="n">
        <v>100</v>
      </c>
      <c r="F30" s="3" t="n">
        <v>100</v>
      </c>
      <c r="G30" s="3" t="n">
        <v>100</v>
      </c>
      <c r="H30" s="3" t="n">
        <v>100</v>
      </c>
      <c r="I30" s="3" t="n">
        <v>100</v>
      </c>
      <c r="J30" s="3" t="n">
        <v>100</v>
      </c>
      <c r="K30" s="3" t="n">
        <v>100</v>
      </c>
      <c r="L30" s="3" t="n">
        <v>100</v>
      </c>
      <c r="M30" s="3" t="n">
        <v>100</v>
      </c>
      <c r="N30" s="3" t="n">
        <v>100</v>
      </c>
      <c r="O30" s="3" t="n">
        <v>100</v>
      </c>
      <c r="P30" s="3" t="n">
        <v>100</v>
      </c>
      <c r="Q30" s="3" t="n">
        <v>100</v>
      </c>
      <c r="R30" s="3" t="n">
        <v>100</v>
      </c>
      <c r="S30" s="3" t="n">
        <v>100</v>
      </c>
      <c r="T30" s="3" t="n">
        <v>100</v>
      </c>
      <c r="U30" s="3" t="n">
        <v>100</v>
      </c>
      <c r="V30" s="3" t="n">
        <v>100</v>
      </c>
      <c r="W30" s="3" t="n">
        <v>100</v>
      </c>
      <c r="X30" s="3" t="n">
        <v>100</v>
      </c>
      <c r="Y30" s="3" t="n">
        <v>100</v>
      </c>
      <c r="Z30" s="3" t="n">
        <v>60</v>
      </c>
      <c r="AA30" s="3" t="n">
        <v>60</v>
      </c>
    </row>
    <row r="31" customFormat="false" ht="15" hidden="false" customHeight="false" outlineLevel="0" collapsed="false">
      <c r="A31" s="1" t="s">
        <v>30</v>
      </c>
      <c r="B31" s="3" t="n">
        <v>90</v>
      </c>
      <c r="C31" s="3" t="n">
        <v>90</v>
      </c>
      <c r="D31" s="3" t="n">
        <v>90</v>
      </c>
      <c r="E31" s="3" t="n">
        <v>90</v>
      </c>
      <c r="F31" s="3" t="n">
        <v>90</v>
      </c>
      <c r="G31" s="3" t="n">
        <v>90</v>
      </c>
      <c r="H31" s="3" t="n">
        <v>100</v>
      </c>
      <c r="I31" s="3" t="n">
        <v>90</v>
      </c>
      <c r="J31" s="3" t="n">
        <v>90</v>
      </c>
      <c r="K31" s="3" t="n">
        <v>90</v>
      </c>
      <c r="L31" s="3" t="n">
        <v>100</v>
      </c>
      <c r="M31" s="3" t="n">
        <v>90</v>
      </c>
      <c r="N31" s="3" t="n">
        <v>90</v>
      </c>
      <c r="O31" s="3" t="n">
        <v>90</v>
      </c>
      <c r="P31" s="3" t="n">
        <v>90</v>
      </c>
      <c r="Q31" s="3" t="n">
        <v>90</v>
      </c>
      <c r="R31" s="3" t="n">
        <v>90</v>
      </c>
      <c r="S31" s="3" t="n">
        <v>90</v>
      </c>
      <c r="T31" s="3" t="n">
        <v>90</v>
      </c>
      <c r="U31" s="3" t="n">
        <v>100</v>
      </c>
      <c r="V31" s="3" t="n">
        <v>100</v>
      </c>
      <c r="W31" s="3" t="n">
        <v>100</v>
      </c>
      <c r="X31" s="3" t="n">
        <v>100</v>
      </c>
      <c r="Y31" s="3" t="n">
        <v>100</v>
      </c>
      <c r="Z31" s="3" t="n">
        <v>50</v>
      </c>
      <c r="AA31" s="3" t="n">
        <v>50</v>
      </c>
    </row>
    <row r="32" customFormat="false" ht="15" hidden="false" customHeight="false" outlineLevel="0" collapsed="false">
      <c r="A32" s="1" t="s">
        <v>31</v>
      </c>
      <c r="B32" s="3" t="n">
        <v>80</v>
      </c>
      <c r="C32" s="3" t="n">
        <v>80</v>
      </c>
      <c r="D32" s="3" t="n">
        <v>80</v>
      </c>
      <c r="E32" s="3" t="n">
        <v>80</v>
      </c>
      <c r="F32" s="3" t="n">
        <v>80</v>
      </c>
      <c r="G32" s="3" t="n">
        <v>80</v>
      </c>
      <c r="H32" s="3" t="n">
        <v>90</v>
      </c>
      <c r="I32" s="3" t="n">
        <v>80</v>
      </c>
      <c r="J32" s="3" t="n">
        <v>80</v>
      </c>
      <c r="K32" s="3" t="n">
        <v>80</v>
      </c>
      <c r="L32" s="3" t="n">
        <v>90</v>
      </c>
      <c r="M32" s="3" t="n">
        <v>80</v>
      </c>
      <c r="N32" s="3" t="n">
        <v>80</v>
      </c>
      <c r="O32" s="3" t="n">
        <v>80</v>
      </c>
      <c r="P32" s="3" t="n">
        <v>80</v>
      </c>
      <c r="Q32" s="3" t="n">
        <v>80</v>
      </c>
      <c r="R32" s="3" t="n">
        <v>80</v>
      </c>
      <c r="S32" s="3" t="n">
        <v>80</v>
      </c>
      <c r="T32" s="3" t="n">
        <v>80</v>
      </c>
      <c r="U32" s="3" t="n">
        <v>90</v>
      </c>
      <c r="V32" s="3" t="n">
        <v>90</v>
      </c>
      <c r="W32" s="3" t="n">
        <v>90</v>
      </c>
      <c r="X32" s="3" t="n">
        <v>90</v>
      </c>
      <c r="Y32" s="3" t="n">
        <v>90</v>
      </c>
      <c r="Z32" s="3" t="n">
        <v>50</v>
      </c>
      <c r="AA32" s="3" t="n">
        <v>50</v>
      </c>
    </row>
    <row r="33" customFormat="false" ht="15" hidden="false" customHeight="false" outlineLevel="0" collapsed="false">
      <c r="A33" s="1" t="s">
        <v>32</v>
      </c>
      <c r="B33" s="3" t="n">
        <v>60</v>
      </c>
      <c r="C33" s="3" t="n">
        <v>60</v>
      </c>
      <c r="D33" s="3" t="n">
        <v>60</v>
      </c>
      <c r="E33" s="3" t="n">
        <v>60</v>
      </c>
      <c r="F33" s="3" t="n">
        <v>60</v>
      </c>
      <c r="G33" s="3" t="n">
        <v>60</v>
      </c>
      <c r="H33" s="3" t="n">
        <v>70</v>
      </c>
      <c r="I33" s="3" t="n">
        <v>60</v>
      </c>
      <c r="J33" s="3" t="n">
        <v>60</v>
      </c>
      <c r="K33" s="3" t="n">
        <v>60</v>
      </c>
      <c r="L33" s="3" t="n">
        <v>60</v>
      </c>
      <c r="M33" s="3" t="n">
        <v>60</v>
      </c>
      <c r="N33" s="3" t="n">
        <v>60</v>
      </c>
      <c r="O33" s="3" t="n">
        <v>60</v>
      </c>
      <c r="P33" s="3" t="n">
        <v>60</v>
      </c>
      <c r="Q33" s="3" t="n">
        <v>60</v>
      </c>
      <c r="R33" s="3" t="n">
        <v>60</v>
      </c>
      <c r="S33" s="3" t="n">
        <v>60</v>
      </c>
      <c r="T33" s="3" t="n">
        <v>60</v>
      </c>
      <c r="U33" s="3" t="n">
        <v>70</v>
      </c>
      <c r="V33" s="3" t="n">
        <v>70</v>
      </c>
      <c r="W33" s="3" t="n">
        <v>70</v>
      </c>
      <c r="X33" s="3" t="n">
        <v>70</v>
      </c>
      <c r="Y33" s="3" t="n">
        <v>70</v>
      </c>
      <c r="Z33" s="3" t="n">
        <v>10</v>
      </c>
      <c r="AA33" s="2" t="n">
        <v>0</v>
      </c>
    </row>
    <row r="34" customFormat="false" ht="15" hidden="false" customHeight="false" outlineLevel="0" collapsed="false">
      <c r="A34" s="1" t="s">
        <v>33</v>
      </c>
      <c r="B34" s="3" t="n">
        <v>60</v>
      </c>
      <c r="C34" s="3" t="n">
        <v>60</v>
      </c>
      <c r="D34" s="3" t="n">
        <v>60</v>
      </c>
      <c r="E34" s="3" t="n">
        <v>60</v>
      </c>
      <c r="F34" s="3" t="n">
        <v>60</v>
      </c>
      <c r="G34" s="3" t="n">
        <v>60</v>
      </c>
      <c r="H34" s="3" t="n">
        <v>70</v>
      </c>
      <c r="I34" s="3" t="n">
        <v>60</v>
      </c>
      <c r="J34" s="3" t="n">
        <v>60</v>
      </c>
      <c r="K34" s="3" t="n">
        <v>60</v>
      </c>
      <c r="L34" s="3" t="n">
        <v>60</v>
      </c>
      <c r="M34" s="3" t="n">
        <v>60</v>
      </c>
      <c r="N34" s="3" t="n">
        <v>60</v>
      </c>
      <c r="O34" s="3" t="n">
        <v>60</v>
      </c>
      <c r="P34" s="3" t="n">
        <v>60</v>
      </c>
      <c r="Q34" s="3" t="n">
        <v>60</v>
      </c>
      <c r="R34" s="3" t="n">
        <v>60</v>
      </c>
      <c r="S34" s="3" t="n">
        <v>60</v>
      </c>
      <c r="T34" s="3" t="n">
        <v>60</v>
      </c>
      <c r="U34" s="3" t="n">
        <v>70</v>
      </c>
      <c r="V34" s="3" t="n">
        <v>70</v>
      </c>
      <c r="W34" s="3" t="n">
        <v>70</v>
      </c>
      <c r="X34" s="3" t="n">
        <v>70</v>
      </c>
      <c r="Y34" s="3" t="n">
        <v>70</v>
      </c>
      <c r="Z34" s="2" t="n">
        <v>0</v>
      </c>
      <c r="AA34" s="3" t="n">
        <v>10</v>
      </c>
    </row>
    <row r="35" customFormat="false" ht="15" hidden="false" customHeight="false" outlineLevel="0" collapsed="false">
      <c r="A35" s="6" t="s">
        <v>34</v>
      </c>
      <c r="B35" s="3" t="n">
        <v>80</v>
      </c>
      <c r="C35" s="3" t="n">
        <v>80</v>
      </c>
      <c r="D35" s="3" t="n">
        <v>80</v>
      </c>
      <c r="E35" s="3" t="n">
        <v>80</v>
      </c>
      <c r="F35" s="3" t="n">
        <v>80</v>
      </c>
      <c r="G35" s="3" t="n">
        <v>80</v>
      </c>
      <c r="H35" s="3" t="n">
        <v>90</v>
      </c>
      <c r="I35" s="3" t="n">
        <v>80</v>
      </c>
      <c r="J35" s="3" t="n">
        <v>80</v>
      </c>
      <c r="K35" s="3" t="n">
        <v>80</v>
      </c>
      <c r="L35" s="3" t="n">
        <v>90</v>
      </c>
      <c r="M35" s="3" t="n">
        <v>80</v>
      </c>
      <c r="N35" s="3" t="n">
        <v>80</v>
      </c>
      <c r="O35" s="3" t="n">
        <v>80</v>
      </c>
      <c r="P35" s="3" t="n">
        <v>80</v>
      </c>
      <c r="Q35" s="3" t="n">
        <v>80</v>
      </c>
      <c r="R35" s="3" t="n">
        <v>80</v>
      </c>
      <c r="S35" s="3" t="n">
        <v>80</v>
      </c>
      <c r="T35" s="3" t="n">
        <v>80</v>
      </c>
      <c r="U35" s="3" t="n">
        <v>90</v>
      </c>
      <c r="V35" s="3" t="n">
        <v>90</v>
      </c>
      <c r="W35" s="3" t="n">
        <v>90</v>
      </c>
      <c r="X35" s="3" t="n">
        <v>90</v>
      </c>
      <c r="Y35" s="3" t="n">
        <v>90</v>
      </c>
      <c r="Z35" s="3" t="n">
        <v>50</v>
      </c>
      <c r="AA35" s="3" t="n">
        <v>50</v>
      </c>
    </row>
  </sheetData>
  <conditionalFormatting sqref="B2:AA35">
    <cfRule type="cellIs" priority="2" operator="greaterThan" aboveAverage="0" equalAverage="0" bottom="0" percent="0" rank="0" text="" dxfId="0">
      <formula>71</formula>
    </cfRule>
    <cfRule type="cellIs" priority="3" operator="between" aboveAverage="0" equalAverage="0" bottom="0" percent="0" rank="0" text="" dxfId="1">
      <formula>31</formula>
      <formula>70</formula>
    </cfRule>
    <cfRule type="cellIs" priority="4" operator="lessThanOrEqual" aboveAverage="0" equalAverage="0" bottom="0" percent="0" rank="0" text="" dxfId="2">
      <formula>30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12" activeCellId="0" sqref="C12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9.14"/>
    <col collapsed="false" customWidth="true" hidden="false" outlineLevel="0" max="16384" min="16384" style="0" width="9.14"/>
  </cols>
  <sheetData>
    <row r="1" customFormat="false" ht="15" hidden="false" customHeight="false" outlineLevel="0" collapsed="false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customFormat="false" ht="15" hidden="false" customHeight="false" outlineLevel="0" collapsed="false">
      <c r="A2" s="1" t="s">
        <v>27</v>
      </c>
      <c r="B2" s="2" t="n">
        <v>0</v>
      </c>
      <c r="C2" s="2" t="n">
        <v>15</v>
      </c>
      <c r="D2" s="2" t="n">
        <v>30</v>
      </c>
      <c r="E2" s="3" t="n">
        <v>40</v>
      </c>
      <c r="F2" s="3" t="n">
        <v>60</v>
      </c>
      <c r="G2" s="3" t="n">
        <v>70</v>
      </c>
      <c r="H2" s="3" t="n">
        <v>80</v>
      </c>
    </row>
    <row r="3" customFormat="false" ht="15" hidden="false" customHeight="false" outlineLevel="0" collapsed="false">
      <c r="A3" s="1" t="s">
        <v>28</v>
      </c>
      <c r="B3" s="2" t="n">
        <v>15</v>
      </c>
      <c r="C3" s="2" t="n">
        <v>0</v>
      </c>
      <c r="D3" s="2" t="n">
        <v>20</v>
      </c>
      <c r="E3" s="3" t="n">
        <v>30</v>
      </c>
      <c r="F3" s="3" t="n">
        <v>50</v>
      </c>
      <c r="G3" s="3" t="n">
        <v>40</v>
      </c>
      <c r="H3" s="3" t="n">
        <v>60</v>
      </c>
    </row>
    <row r="4" customFormat="false" ht="15" hidden="false" customHeight="false" outlineLevel="0" collapsed="false">
      <c r="A4" s="1" t="s">
        <v>29</v>
      </c>
      <c r="B4" s="2" t="n">
        <v>30</v>
      </c>
      <c r="C4" s="2" t="n">
        <v>20</v>
      </c>
      <c r="D4" s="2" t="n">
        <v>0</v>
      </c>
      <c r="E4" s="3" t="n">
        <v>15</v>
      </c>
      <c r="F4" s="3" t="n">
        <v>40</v>
      </c>
      <c r="G4" s="3" t="n">
        <v>40</v>
      </c>
      <c r="H4" s="3" t="n">
        <v>60</v>
      </c>
    </row>
    <row r="5" customFormat="false" ht="15" hidden="false" customHeight="false" outlineLevel="0" collapsed="false">
      <c r="A5" s="1" t="s">
        <v>30</v>
      </c>
      <c r="B5" s="3" t="n">
        <v>40</v>
      </c>
      <c r="C5" s="3" t="n">
        <v>30</v>
      </c>
      <c r="D5" s="3" t="n">
        <v>15</v>
      </c>
      <c r="E5" s="2" t="n">
        <v>0</v>
      </c>
      <c r="F5" s="3" t="n">
        <v>40</v>
      </c>
      <c r="G5" s="3" t="n">
        <v>40</v>
      </c>
      <c r="H5" s="3" t="n">
        <v>60</v>
      </c>
    </row>
    <row r="6" customFormat="false" ht="15" hidden="false" customHeight="false" outlineLevel="0" collapsed="false">
      <c r="A6" s="1" t="s">
        <v>31</v>
      </c>
      <c r="B6" s="3" t="n">
        <v>70</v>
      </c>
      <c r="C6" s="3" t="n">
        <v>40</v>
      </c>
      <c r="D6" s="3" t="n">
        <v>40</v>
      </c>
      <c r="E6" s="3" t="n">
        <v>40</v>
      </c>
      <c r="F6" s="2" t="n">
        <v>0</v>
      </c>
      <c r="G6" s="3" t="n">
        <v>20</v>
      </c>
      <c r="H6" s="3" t="n">
        <v>30</v>
      </c>
    </row>
    <row r="7" customFormat="false" ht="15" hidden="false" customHeight="false" outlineLevel="0" collapsed="false">
      <c r="A7" s="1" t="s">
        <v>32</v>
      </c>
      <c r="B7" s="3" t="n">
        <v>70</v>
      </c>
      <c r="C7" s="3" t="n">
        <v>40</v>
      </c>
      <c r="D7" s="3" t="n">
        <v>40</v>
      </c>
      <c r="E7" s="3" t="n">
        <v>60</v>
      </c>
      <c r="F7" s="3" t="n">
        <v>20</v>
      </c>
      <c r="G7" s="2" t="n">
        <v>0</v>
      </c>
      <c r="H7" s="3" t="n">
        <v>20</v>
      </c>
    </row>
    <row r="8" customFormat="false" ht="15" hidden="false" customHeight="false" outlineLevel="0" collapsed="false">
      <c r="A8" s="1" t="s">
        <v>33</v>
      </c>
      <c r="B8" s="3" t="n">
        <v>80</v>
      </c>
      <c r="C8" s="3" t="n">
        <v>50</v>
      </c>
      <c r="D8" s="3" t="n">
        <v>50</v>
      </c>
      <c r="E8" s="3" t="n">
        <v>60</v>
      </c>
      <c r="F8" s="3" t="n">
        <v>30</v>
      </c>
      <c r="G8" s="3" t="n">
        <v>20</v>
      </c>
      <c r="H8" s="2" t="n">
        <v>0</v>
      </c>
    </row>
    <row r="1048576" customFormat="false" ht="12.8" hidden="false" customHeight="false" outlineLevel="0" collapsed="false"/>
  </sheetData>
  <conditionalFormatting sqref="B2:H8">
    <cfRule type="cellIs" priority="2" operator="greaterThan" aboveAverage="0" equalAverage="0" bottom="0" percent="0" rank="0" text="" dxfId="3">
      <formula>71</formula>
    </cfRule>
    <cfRule type="cellIs" priority="3" operator="between" aboveAverage="0" equalAverage="0" bottom="0" percent="0" rank="0" text="" dxfId="4">
      <formula>31</formula>
      <formula>70</formula>
    </cfRule>
    <cfRule type="cellIs" priority="4" operator="lessThanOrEqual" aboveAverage="0" equalAverage="0" bottom="0" percent="0" rank="0" text="" dxfId="5">
      <formula>30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D1039"/>
  <sheetViews>
    <sheetView showFormulas="false" showGridLines="true" showRowColHeaders="true" showZeros="true" rightToLeft="false" tabSelected="false" showOutlineSymbols="true" defaultGridColor="true" view="normal" topLeftCell="A1011" colorId="64" zoomScale="90" zoomScaleNormal="90" zoomScalePageLayoutView="100" workbookViewId="0">
      <selection pane="topLeft" activeCell="C1022" activeCellId="0" sqref="C1022"/>
    </sheetView>
  </sheetViews>
  <sheetFormatPr defaultColWidth="8.5390625" defaultRowHeight="15" customHeight="true" zeroHeight="false" outlineLevelRow="0" outlineLevelCol="0"/>
  <cols>
    <col collapsed="false" customWidth="true" hidden="false" outlineLevel="0" max="2" min="2" style="7" width="20.86"/>
    <col collapsed="false" customWidth="true" hidden="false" outlineLevel="0" max="3" min="3" style="7" width="9.14"/>
  </cols>
  <sheetData>
    <row r="1" customFormat="false" ht="15" hidden="false" customHeight="false" outlineLevel="0" collapsed="false">
      <c r="B1" s="8" t="s">
        <v>35</v>
      </c>
      <c r="C1" s="9" t="s">
        <v>36</v>
      </c>
    </row>
    <row r="2" customFormat="false" ht="15" hidden="false" customHeight="false" outlineLevel="0" collapsed="false">
      <c r="B2" s="8" t="s">
        <v>37</v>
      </c>
      <c r="C2" s="7" t="n">
        <v>0</v>
      </c>
    </row>
    <row r="3" customFormat="false" ht="15" hidden="false" customHeight="false" outlineLevel="0" collapsed="false">
      <c r="B3" s="8" t="s">
        <v>38</v>
      </c>
      <c r="C3" s="7" t="n">
        <v>30</v>
      </c>
    </row>
    <row r="4" customFormat="false" ht="15" hidden="false" customHeight="false" outlineLevel="0" collapsed="false">
      <c r="B4" s="8" t="s">
        <v>39</v>
      </c>
      <c r="C4" s="7" t="n">
        <v>70</v>
      </c>
    </row>
    <row r="5" customFormat="false" ht="15" hidden="false" customHeight="false" outlineLevel="0" collapsed="false">
      <c r="B5" s="8" t="s">
        <v>40</v>
      </c>
      <c r="C5" s="7" t="n">
        <v>70</v>
      </c>
    </row>
    <row r="6" customFormat="false" ht="15" hidden="false" customHeight="false" outlineLevel="0" collapsed="false">
      <c r="B6" s="8" t="s">
        <v>41</v>
      </c>
      <c r="C6" s="7" t="n">
        <v>70</v>
      </c>
    </row>
    <row r="7" customFormat="false" ht="15" hidden="false" customHeight="false" outlineLevel="0" collapsed="false">
      <c r="B7" s="8" t="s">
        <v>42</v>
      </c>
      <c r="C7" s="7" t="n">
        <v>60</v>
      </c>
    </row>
    <row r="8" customFormat="false" ht="15" hidden="false" customHeight="false" outlineLevel="0" collapsed="false">
      <c r="B8" s="8" t="s">
        <v>43</v>
      </c>
      <c r="C8" s="7" t="n">
        <v>60</v>
      </c>
    </row>
    <row r="9" customFormat="false" ht="15" hidden="false" customHeight="false" outlineLevel="0" collapsed="false">
      <c r="B9" s="8" t="s">
        <v>44</v>
      </c>
      <c r="C9" s="7" t="n">
        <v>60</v>
      </c>
    </row>
    <row r="10" customFormat="false" ht="15" hidden="false" customHeight="false" outlineLevel="0" collapsed="false">
      <c r="B10" s="8" t="s">
        <v>45</v>
      </c>
      <c r="C10" s="7" t="n">
        <v>60</v>
      </c>
    </row>
    <row r="11" customFormat="false" ht="15" hidden="false" customHeight="false" outlineLevel="0" collapsed="false">
      <c r="B11" s="8" t="s">
        <v>46</v>
      </c>
      <c r="C11" s="7" t="n">
        <v>40</v>
      </c>
    </row>
    <row r="12" customFormat="false" ht="15" hidden="false" customHeight="false" outlineLevel="0" collapsed="false">
      <c r="B12" s="8" t="s">
        <v>47</v>
      </c>
      <c r="C12" s="7" t="n">
        <v>40</v>
      </c>
    </row>
    <row r="13" customFormat="false" ht="15" hidden="false" customHeight="false" outlineLevel="0" collapsed="false">
      <c r="B13" s="8" t="s">
        <v>48</v>
      </c>
      <c r="C13" s="7" t="n">
        <v>80</v>
      </c>
    </row>
    <row r="14" customFormat="false" ht="15" hidden="false" customHeight="false" outlineLevel="0" collapsed="false">
      <c r="B14" s="8" t="s">
        <v>49</v>
      </c>
      <c r="C14" s="7" t="n">
        <v>15</v>
      </c>
    </row>
    <row r="15" customFormat="false" ht="15" hidden="false" customHeight="false" outlineLevel="0" collapsed="false">
      <c r="B15" s="8" t="s">
        <v>50</v>
      </c>
      <c r="C15" s="7" t="n">
        <v>80</v>
      </c>
    </row>
    <row r="16" customFormat="false" ht="15" hidden="false" customHeight="false" outlineLevel="0" collapsed="false">
      <c r="B16" s="8" t="s">
        <v>51</v>
      </c>
      <c r="C16" s="7" t="n">
        <v>70</v>
      </c>
    </row>
    <row r="17" customFormat="false" ht="15" hidden="false" customHeight="false" outlineLevel="0" collapsed="false">
      <c r="B17" s="8" t="s">
        <v>52</v>
      </c>
      <c r="C17" s="7" t="n">
        <v>120</v>
      </c>
    </row>
    <row r="18" customFormat="false" ht="15" hidden="false" customHeight="false" outlineLevel="0" collapsed="false">
      <c r="B18" s="8" t="s">
        <v>53</v>
      </c>
      <c r="C18" s="7" t="n">
        <v>120</v>
      </c>
    </row>
    <row r="19" customFormat="false" ht="15" hidden="false" customHeight="false" outlineLevel="0" collapsed="false">
      <c r="B19" s="8" t="s">
        <v>54</v>
      </c>
      <c r="C19" s="7" t="n">
        <v>120</v>
      </c>
    </row>
    <row r="20" customFormat="false" ht="15" hidden="false" customHeight="false" outlineLevel="0" collapsed="false">
      <c r="B20" s="8" t="s">
        <v>55</v>
      </c>
      <c r="C20" s="7" t="n">
        <v>120</v>
      </c>
    </row>
    <row r="21" customFormat="false" ht="15" hidden="false" customHeight="false" outlineLevel="0" collapsed="false">
      <c r="B21" s="8" t="s">
        <v>56</v>
      </c>
      <c r="C21" s="7" t="n">
        <v>100</v>
      </c>
    </row>
    <row r="22" customFormat="false" ht="15" hidden="false" customHeight="false" outlineLevel="0" collapsed="false">
      <c r="B22" s="8" t="s">
        <v>57</v>
      </c>
      <c r="C22" s="7" t="n">
        <v>60</v>
      </c>
    </row>
    <row r="23" customFormat="false" ht="15" hidden="false" customHeight="false" outlineLevel="0" collapsed="false">
      <c r="B23" s="8" t="s">
        <v>58</v>
      </c>
      <c r="C23" s="7" t="n">
        <v>50</v>
      </c>
    </row>
    <row r="24" customFormat="false" ht="15" hidden="false" customHeight="false" outlineLevel="0" collapsed="false">
      <c r="B24" s="8" t="s">
        <v>59</v>
      </c>
      <c r="C24" s="7" t="n">
        <v>110</v>
      </c>
    </row>
    <row r="25" customFormat="false" ht="15" hidden="false" customHeight="false" outlineLevel="0" collapsed="false">
      <c r="B25" s="8" t="s">
        <v>60</v>
      </c>
      <c r="C25" s="7" t="n">
        <v>80</v>
      </c>
    </row>
    <row r="26" customFormat="false" ht="15" hidden="false" customHeight="false" outlineLevel="0" collapsed="false">
      <c r="B26" s="8" t="s">
        <v>61</v>
      </c>
      <c r="C26" s="7" t="n">
        <v>80</v>
      </c>
    </row>
    <row r="27" customFormat="false" ht="15" hidden="false" customHeight="false" outlineLevel="0" collapsed="false">
      <c r="B27" s="8" t="s">
        <v>62</v>
      </c>
      <c r="C27" s="7" t="n">
        <v>120</v>
      </c>
    </row>
    <row r="28" customFormat="false" ht="15" hidden="false" customHeight="false" outlineLevel="0" collapsed="false">
      <c r="B28" s="8" t="s">
        <v>63</v>
      </c>
      <c r="C28" s="7" t="n">
        <v>80</v>
      </c>
      <c r="AB28" s="7" t="n">
        <v>60</v>
      </c>
      <c r="AD28" s="7" t="n">
        <v>30</v>
      </c>
    </row>
    <row r="29" customFormat="false" ht="15" hidden="false" customHeight="false" outlineLevel="0" collapsed="false">
      <c r="B29" s="8" t="s">
        <v>64</v>
      </c>
      <c r="C29" s="7" t="n">
        <v>120</v>
      </c>
      <c r="AB29" s="7" t="n">
        <v>30</v>
      </c>
      <c r="AD29" s="7" t="n">
        <v>0</v>
      </c>
    </row>
    <row r="30" customFormat="false" ht="15" hidden="false" customHeight="false" outlineLevel="0" collapsed="false">
      <c r="B30" s="8" t="s">
        <v>65</v>
      </c>
      <c r="C30" s="7" t="n">
        <v>60</v>
      </c>
      <c r="AB30" s="7" t="n">
        <v>0</v>
      </c>
      <c r="AD30" s="7" t="n">
        <v>120</v>
      </c>
    </row>
    <row r="31" customFormat="false" ht="15" hidden="false" customHeight="false" outlineLevel="0" collapsed="false">
      <c r="B31" s="8" t="s">
        <v>66</v>
      </c>
      <c r="C31" s="7" t="n">
        <v>240</v>
      </c>
      <c r="AB31" s="7" t="n">
        <v>120</v>
      </c>
      <c r="AD31" s="7" t="n">
        <v>100</v>
      </c>
    </row>
    <row r="32" customFormat="false" ht="15" hidden="false" customHeight="false" outlineLevel="0" collapsed="false">
      <c r="B32" s="8" t="s">
        <v>67</v>
      </c>
      <c r="C32" s="7" t="n">
        <v>30</v>
      </c>
      <c r="AB32" s="7" t="n">
        <v>100</v>
      </c>
      <c r="AD32" s="7" t="n">
        <v>80</v>
      </c>
    </row>
    <row r="33" customFormat="false" ht="15" hidden="false" customHeight="false" outlineLevel="0" collapsed="false">
      <c r="B33" s="8" t="s">
        <v>68</v>
      </c>
      <c r="C33" s="7" t="n">
        <v>0</v>
      </c>
      <c r="AB33" s="7" t="n">
        <v>80</v>
      </c>
      <c r="AD33" s="7" t="n">
        <v>80</v>
      </c>
    </row>
    <row r="34" customFormat="false" ht="15" hidden="false" customHeight="false" outlineLevel="0" collapsed="false">
      <c r="B34" s="8" t="s">
        <v>69</v>
      </c>
      <c r="C34" s="7" t="n">
        <v>120</v>
      </c>
      <c r="AB34" s="7" t="n">
        <v>80</v>
      </c>
      <c r="AD34" s="7" t="n">
        <v>70</v>
      </c>
    </row>
    <row r="35" customFormat="false" ht="15" hidden="false" customHeight="false" outlineLevel="0" collapsed="false">
      <c r="B35" s="8" t="s">
        <v>70</v>
      </c>
      <c r="C35" s="7" t="n">
        <v>100</v>
      </c>
      <c r="AB35" s="7" t="n">
        <v>70</v>
      </c>
      <c r="AD35" s="7" t="n">
        <v>70</v>
      </c>
    </row>
    <row r="36" customFormat="false" ht="15" hidden="false" customHeight="false" outlineLevel="0" collapsed="false">
      <c r="B36" s="8" t="s">
        <v>71</v>
      </c>
      <c r="C36" s="7" t="n">
        <v>80</v>
      </c>
      <c r="AB36" s="7" t="n">
        <v>70</v>
      </c>
      <c r="AD36" s="7" t="n">
        <v>60</v>
      </c>
    </row>
    <row r="37" customFormat="false" ht="15" hidden="false" customHeight="false" outlineLevel="0" collapsed="false">
      <c r="B37" s="8" t="s">
        <v>72</v>
      </c>
      <c r="C37" s="7" t="n">
        <v>80</v>
      </c>
      <c r="AB37" s="7" t="n">
        <v>60</v>
      </c>
      <c r="AD37" s="7" t="n">
        <v>50</v>
      </c>
    </row>
    <row r="38" customFormat="false" ht="15" hidden="false" customHeight="false" outlineLevel="0" collapsed="false">
      <c r="B38" s="8" t="s">
        <v>73</v>
      </c>
      <c r="C38" s="7" t="n">
        <v>70</v>
      </c>
      <c r="AB38" s="7" t="n">
        <v>50</v>
      </c>
      <c r="AD38" s="7" t="n">
        <v>50</v>
      </c>
    </row>
    <row r="39" customFormat="false" ht="15" hidden="false" customHeight="false" outlineLevel="0" collapsed="false">
      <c r="B39" s="8" t="s">
        <v>74</v>
      </c>
      <c r="C39" s="7" t="n">
        <v>70</v>
      </c>
      <c r="AB39" s="7" t="n">
        <v>50</v>
      </c>
      <c r="AD39" s="7" t="n">
        <v>100</v>
      </c>
    </row>
    <row r="40" customFormat="false" ht="15" hidden="false" customHeight="false" outlineLevel="0" collapsed="false">
      <c r="B40" s="8" t="s">
        <v>75</v>
      </c>
      <c r="C40" s="7" t="n">
        <v>60</v>
      </c>
      <c r="AB40" s="7" t="n">
        <v>100</v>
      </c>
      <c r="AD40" s="7" t="n">
        <v>70</v>
      </c>
    </row>
    <row r="41" customFormat="false" ht="15" hidden="false" customHeight="false" outlineLevel="0" collapsed="false">
      <c r="B41" s="8" t="s">
        <v>76</v>
      </c>
      <c r="C41" s="7" t="n">
        <v>50</v>
      </c>
      <c r="AB41" s="7" t="n">
        <v>70</v>
      </c>
      <c r="AD41" s="7" t="n">
        <v>120</v>
      </c>
    </row>
    <row r="42" customFormat="false" ht="15" hidden="false" customHeight="false" outlineLevel="0" collapsed="false">
      <c r="B42" s="8" t="s">
        <v>77</v>
      </c>
      <c r="C42" s="7" t="n">
        <v>50</v>
      </c>
      <c r="AB42" s="7" t="n">
        <v>120</v>
      </c>
      <c r="AD42" s="7" t="n">
        <v>100</v>
      </c>
    </row>
    <row r="43" customFormat="false" ht="15" hidden="false" customHeight="false" outlineLevel="0" collapsed="false">
      <c r="B43" s="8" t="s">
        <v>78</v>
      </c>
      <c r="C43" s="7" t="n">
        <v>100</v>
      </c>
      <c r="AB43" s="7" t="n">
        <v>100</v>
      </c>
      <c r="AD43" s="7" t="n">
        <v>120</v>
      </c>
    </row>
    <row r="44" customFormat="false" ht="15" hidden="false" customHeight="false" outlineLevel="0" collapsed="false">
      <c r="B44" s="8" t="s">
        <v>79</v>
      </c>
      <c r="C44" s="7" t="n">
        <v>70</v>
      </c>
      <c r="AB44" s="7" t="n">
        <v>120</v>
      </c>
      <c r="AD44" s="7" t="n">
        <v>120</v>
      </c>
    </row>
    <row r="45" customFormat="false" ht="15" hidden="false" customHeight="false" outlineLevel="0" collapsed="false">
      <c r="B45" s="8" t="s">
        <v>80</v>
      </c>
      <c r="C45" s="7" t="n">
        <v>120</v>
      </c>
      <c r="AB45" s="7" t="n">
        <v>120</v>
      </c>
      <c r="AD45" s="7" t="n">
        <v>65</v>
      </c>
    </row>
    <row r="46" customFormat="false" ht="15" hidden="false" customHeight="false" outlineLevel="0" collapsed="false">
      <c r="B46" s="8" t="s">
        <v>81</v>
      </c>
      <c r="C46" s="7" t="n">
        <v>100</v>
      </c>
      <c r="AB46" s="7" t="n">
        <v>65</v>
      </c>
      <c r="AD46" s="7" t="n">
        <v>60</v>
      </c>
    </row>
    <row r="47" customFormat="false" ht="15" hidden="false" customHeight="false" outlineLevel="0" collapsed="false">
      <c r="B47" s="8" t="s">
        <v>82</v>
      </c>
      <c r="C47" s="7" t="n">
        <v>120</v>
      </c>
      <c r="AB47" s="7" t="n">
        <v>60</v>
      </c>
      <c r="AD47" s="7" t="n">
        <v>100</v>
      </c>
    </row>
    <row r="48" customFormat="false" ht="15" hidden="false" customHeight="false" outlineLevel="0" collapsed="false">
      <c r="B48" s="8" t="s">
        <v>83</v>
      </c>
      <c r="C48" s="7" t="n">
        <v>120</v>
      </c>
      <c r="AB48" s="7" t="n">
        <v>100</v>
      </c>
      <c r="AD48" s="7" t="n">
        <v>100</v>
      </c>
    </row>
    <row r="49" customFormat="false" ht="15" hidden="false" customHeight="false" outlineLevel="0" collapsed="false">
      <c r="B49" s="8" t="s">
        <v>84</v>
      </c>
      <c r="C49" s="7" t="n">
        <v>65</v>
      </c>
      <c r="AB49" s="7" t="n">
        <v>100</v>
      </c>
      <c r="AD49" s="7" t="n">
        <v>90</v>
      </c>
    </row>
    <row r="50" customFormat="false" ht="15" hidden="false" customHeight="false" outlineLevel="0" collapsed="false">
      <c r="B50" s="8" t="s">
        <v>85</v>
      </c>
      <c r="C50" s="7" t="n">
        <v>60</v>
      </c>
      <c r="AB50" s="7" t="n">
        <v>90</v>
      </c>
      <c r="AD50" s="7" t="n">
        <v>130</v>
      </c>
    </row>
    <row r="51" customFormat="false" ht="15" hidden="false" customHeight="false" outlineLevel="0" collapsed="false">
      <c r="B51" s="8" t="s">
        <v>86</v>
      </c>
      <c r="C51" s="7" t="n">
        <v>100</v>
      </c>
      <c r="AB51" s="7" t="n">
        <v>130</v>
      </c>
      <c r="AD51" s="7" t="n">
        <v>100</v>
      </c>
    </row>
    <row r="52" customFormat="false" ht="15" hidden="false" customHeight="false" outlineLevel="0" collapsed="false">
      <c r="B52" s="8" t="s">
        <v>87</v>
      </c>
      <c r="C52" s="7" t="n">
        <v>100</v>
      </c>
      <c r="AB52" s="7" t="n">
        <v>100</v>
      </c>
      <c r="AD52" s="7" t="n">
        <v>140</v>
      </c>
    </row>
    <row r="53" customFormat="false" ht="15" hidden="false" customHeight="false" outlineLevel="0" collapsed="false">
      <c r="B53" s="8" t="s">
        <v>88</v>
      </c>
      <c r="C53" s="7" t="n">
        <v>90</v>
      </c>
      <c r="AB53" s="7" t="n">
        <v>140</v>
      </c>
      <c r="AD53" s="7" t="n">
        <v>60</v>
      </c>
    </row>
    <row r="54" customFormat="false" ht="15" hidden="false" customHeight="false" outlineLevel="0" collapsed="false">
      <c r="B54" s="8" t="s">
        <v>89</v>
      </c>
      <c r="C54" s="7" t="n">
        <v>130</v>
      </c>
      <c r="AB54" s="7" t="n">
        <v>60</v>
      </c>
      <c r="AD54" s="7" t="n">
        <v>60</v>
      </c>
    </row>
    <row r="55" customFormat="false" ht="15" hidden="false" customHeight="false" outlineLevel="0" collapsed="false">
      <c r="B55" s="8" t="s">
        <v>90</v>
      </c>
      <c r="C55" s="7" t="n">
        <v>100</v>
      </c>
      <c r="AB55" s="7" t="n">
        <v>60</v>
      </c>
      <c r="AD55" s="7" t="n">
        <v>120</v>
      </c>
    </row>
    <row r="56" customFormat="false" ht="15" hidden="false" customHeight="false" outlineLevel="0" collapsed="false">
      <c r="B56" s="8" t="s">
        <v>91</v>
      </c>
      <c r="C56" s="7" t="n">
        <v>140</v>
      </c>
      <c r="AB56" s="7" t="n">
        <v>120</v>
      </c>
      <c r="AD56" s="7" t="n">
        <v>0</v>
      </c>
    </row>
    <row r="57" customFormat="false" ht="15" hidden="false" customHeight="false" outlineLevel="0" collapsed="false">
      <c r="B57" s="8" t="s">
        <v>92</v>
      </c>
      <c r="C57" s="7" t="n">
        <v>60</v>
      </c>
      <c r="AB57" s="7" t="n">
        <v>0</v>
      </c>
      <c r="AD57" s="7" t="n">
        <v>15</v>
      </c>
    </row>
    <row r="58" customFormat="false" ht="15" hidden="false" customHeight="false" outlineLevel="0" collapsed="false">
      <c r="B58" s="8" t="s">
        <v>93</v>
      </c>
      <c r="C58" s="7" t="n">
        <v>60</v>
      </c>
      <c r="AB58" s="7" t="n">
        <v>15</v>
      </c>
      <c r="AD58" s="7" t="n">
        <v>15</v>
      </c>
    </row>
    <row r="59" customFormat="false" ht="15" hidden="false" customHeight="false" outlineLevel="0" collapsed="false">
      <c r="B59" s="8" t="s">
        <v>94</v>
      </c>
      <c r="C59" s="7" t="n">
        <v>120</v>
      </c>
      <c r="AB59" s="7" t="n">
        <v>15</v>
      </c>
      <c r="AD59" s="7" t="n">
        <v>15</v>
      </c>
    </row>
    <row r="60" customFormat="false" ht="15" hidden="false" customHeight="false" outlineLevel="0" collapsed="false">
      <c r="B60" s="8" t="s">
        <v>95</v>
      </c>
      <c r="C60" s="7" t="n">
        <v>0</v>
      </c>
      <c r="AB60" s="7" t="n">
        <v>15</v>
      </c>
      <c r="AD60" s="7" t="n">
        <v>30</v>
      </c>
    </row>
    <row r="61" customFormat="false" ht="15" hidden="false" customHeight="false" outlineLevel="0" collapsed="false">
      <c r="B61" s="8" t="s">
        <v>96</v>
      </c>
      <c r="C61" s="7" t="n">
        <v>15</v>
      </c>
      <c r="AB61" s="7" t="n">
        <v>30</v>
      </c>
      <c r="AD61" s="7" t="n">
        <v>35</v>
      </c>
    </row>
    <row r="62" customFormat="false" ht="15" hidden="false" customHeight="false" outlineLevel="0" collapsed="false">
      <c r="B62" s="8" t="s">
        <v>97</v>
      </c>
      <c r="C62" s="7" t="n">
        <v>15</v>
      </c>
      <c r="AB62" s="7" t="n">
        <v>35</v>
      </c>
      <c r="AD62" s="7" t="n">
        <v>35</v>
      </c>
    </row>
    <row r="63" customFormat="false" ht="15" hidden="false" customHeight="false" outlineLevel="0" collapsed="false">
      <c r="B63" s="8" t="s">
        <v>98</v>
      </c>
      <c r="C63" s="7" t="n">
        <v>15</v>
      </c>
      <c r="AB63" s="7" t="n">
        <v>35</v>
      </c>
      <c r="AD63" s="7" t="n">
        <v>35</v>
      </c>
    </row>
    <row r="64" customFormat="false" ht="15" hidden="false" customHeight="false" outlineLevel="0" collapsed="false">
      <c r="B64" s="8" t="s">
        <v>99</v>
      </c>
      <c r="C64" s="7" t="n">
        <v>30</v>
      </c>
      <c r="AB64" s="7" t="n">
        <v>35</v>
      </c>
      <c r="AD64" s="7" t="n">
        <v>40</v>
      </c>
    </row>
    <row r="65" customFormat="false" ht="15" hidden="false" customHeight="false" outlineLevel="0" collapsed="false">
      <c r="B65" s="8" t="s">
        <v>100</v>
      </c>
      <c r="C65" s="7" t="n">
        <v>35</v>
      </c>
      <c r="AB65" s="7" t="n">
        <v>40</v>
      </c>
      <c r="AD65" s="7" t="n">
        <v>30</v>
      </c>
    </row>
    <row r="66" customFormat="false" ht="15" hidden="false" customHeight="false" outlineLevel="0" collapsed="false">
      <c r="B66" s="8" t="s">
        <v>101</v>
      </c>
      <c r="C66" s="7" t="n">
        <v>35</v>
      </c>
      <c r="AB66" s="7" t="n">
        <v>30</v>
      </c>
      <c r="AD66" s="7" t="n">
        <v>60</v>
      </c>
    </row>
    <row r="67" customFormat="false" ht="15" hidden="false" customHeight="false" outlineLevel="0" collapsed="false">
      <c r="B67" s="8" t="s">
        <v>102</v>
      </c>
      <c r="C67" s="7" t="n">
        <v>35</v>
      </c>
      <c r="AB67" s="7" t="n">
        <v>60</v>
      </c>
      <c r="AD67" s="7" t="n">
        <v>20</v>
      </c>
    </row>
    <row r="68" customFormat="false" ht="15" hidden="false" customHeight="false" outlineLevel="0" collapsed="false">
      <c r="B68" s="8" t="s">
        <v>103</v>
      </c>
      <c r="C68" s="7" t="n">
        <v>40</v>
      </c>
      <c r="AB68" s="7" t="n">
        <v>20</v>
      </c>
      <c r="AD68" s="7" t="n">
        <v>30</v>
      </c>
    </row>
    <row r="69" customFormat="false" ht="15" hidden="false" customHeight="false" outlineLevel="0" collapsed="false">
      <c r="B69" s="8" t="s">
        <v>104</v>
      </c>
      <c r="C69" s="7" t="n">
        <v>30</v>
      </c>
      <c r="AB69" s="7" t="n">
        <v>30</v>
      </c>
      <c r="AD69" s="7" t="n">
        <v>40</v>
      </c>
    </row>
    <row r="70" customFormat="false" ht="15" hidden="false" customHeight="false" outlineLevel="0" collapsed="false">
      <c r="B70" s="8" t="s">
        <v>105</v>
      </c>
      <c r="C70" s="7" t="n">
        <v>60</v>
      </c>
      <c r="AB70" s="7" t="n">
        <v>40</v>
      </c>
      <c r="AD70" s="7" t="n">
        <v>40</v>
      </c>
    </row>
    <row r="71" customFormat="false" ht="15" hidden="false" customHeight="false" outlineLevel="0" collapsed="false">
      <c r="B71" s="8" t="s">
        <v>106</v>
      </c>
      <c r="C71" s="7" t="n">
        <v>20</v>
      </c>
      <c r="AB71" s="7" t="n">
        <v>40</v>
      </c>
      <c r="AD71" s="7" t="n">
        <v>20</v>
      </c>
    </row>
    <row r="72" customFormat="false" ht="15" hidden="false" customHeight="false" outlineLevel="0" collapsed="false">
      <c r="B72" s="8" t="s">
        <v>107</v>
      </c>
      <c r="C72" s="7" t="n">
        <v>30</v>
      </c>
      <c r="AB72" s="7" t="n">
        <v>20</v>
      </c>
      <c r="AD72" s="7" t="n">
        <v>20</v>
      </c>
    </row>
    <row r="73" customFormat="false" ht="15" hidden="false" customHeight="false" outlineLevel="0" collapsed="false">
      <c r="B73" s="8" t="s">
        <v>108</v>
      </c>
      <c r="C73" s="7" t="n">
        <v>40</v>
      </c>
      <c r="AB73" s="7" t="n">
        <v>20</v>
      </c>
      <c r="AD73" s="7" t="n">
        <v>30</v>
      </c>
    </row>
    <row r="74" customFormat="false" ht="15" hidden="false" customHeight="false" outlineLevel="0" collapsed="false">
      <c r="B74" s="8" t="s">
        <v>109</v>
      </c>
      <c r="C74" s="7" t="n">
        <v>40</v>
      </c>
      <c r="AB74" s="7" t="n">
        <v>30</v>
      </c>
      <c r="AD74" s="7" t="n">
        <v>30</v>
      </c>
    </row>
    <row r="75" customFormat="false" ht="15" hidden="false" customHeight="false" outlineLevel="0" collapsed="false">
      <c r="B75" s="8" t="s">
        <v>110</v>
      </c>
      <c r="C75" s="7" t="n">
        <v>20</v>
      </c>
      <c r="AB75" s="7" t="n">
        <v>30</v>
      </c>
      <c r="AD75" s="7" t="n">
        <v>40</v>
      </c>
    </row>
    <row r="76" customFormat="false" ht="15" hidden="false" customHeight="false" outlineLevel="0" collapsed="false">
      <c r="B76" s="8" t="s">
        <v>111</v>
      </c>
      <c r="C76" s="7" t="n">
        <v>20</v>
      </c>
      <c r="AB76" s="7" t="n">
        <v>40</v>
      </c>
      <c r="AD76" s="7" t="n">
        <v>0</v>
      </c>
    </row>
    <row r="77" customFormat="false" ht="15" hidden="false" customHeight="false" outlineLevel="0" collapsed="false">
      <c r="B77" s="8" t="s">
        <v>112</v>
      </c>
      <c r="C77" s="7" t="n">
        <v>30</v>
      </c>
      <c r="AB77" s="7" t="n">
        <v>0</v>
      </c>
      <c r="AD77" s="7" t="n">
        <v>20</v>
      </c>
    </row>
    <row r="78" customFormat="false" ht="15" hidden="false" customHeight="false" outlineLevel="0" collapsed="false">
      <c r="B78" s="8" t="s">
        <v>113</v>
      </c>
      <c r="C78" s="7" t="n">
        <v>30</v>
      </c>
      <c r="AB78" s="7" t="n">
        <v>20</v>
      </c>
      <c r="AD78" s="7" t="n">
        <v>30</v>
      </c>
    </row>
    <row r="79" customFormat="false" ht="15" hidden="false" customHeight="false" outlineLevel="0" collapsed="false">
      <c r="B79" s="8" t="s">
        <v>114</v>
      </c>
      <c r="C79" s="7" t="n">
        <v>40</v>
      </c>
      <c r="AB79" s="7" t="n">
        <v>30</v>
      </c>
      <c r="AD79" s="7" t="n">
        <v>20</v>
      </c>
    </row>
    <row r="80" customFormat="false" ht="15" hidden="false" customHeight="false" outlineLevel="0" collapsed="false">
      <c r="B80" s="8" t="s">
        <v>115</v>
      </c>
      <c r="C80" s="7" t="n">
        <v>0</v>
      </c>
      <c r="AB80" s="7" t="n">
        <v>20</v>
      </c>
      <c r="AD80" s="7" t="n">
        <v>30</v>
      </c>
    </row>
    <row r="81" customFormat="false" ht="15" hidden="false" customHeight="false" outlineLevel="0" collapsed="false">
      <c r="B81" s="8" t="s">
        <v>116</v>
      </c>
      <c r="C81" s="7" t="n">
        <v>20</v>
      </c>
      <c r="AB81" s="7" t="n">
        <v>30</v>
      </c>
      <c r="AD81" s="7" t="n">
        <v>50</v>
      </c>
    </row>
    <row r="82" customFormat="false" ht="15" hidden="false" customHeight="false" outlineLevel="0" collapsed="false">
      <c r="B82" s="8" t="s">
        <v>117</v>
      </c>
      <c r="C82" s="7" t="n">
        <v>30</v>
      </c>
      <c r="AB82" s="7" t="n">
        <v>50</v>
      </c>
      <c r="AD82" s="7" t="n">
        <v>100</v>
      </c>
    </row>
    <row r="83" customFormat="false" ht="15" hidden="false" customHeight="false" outlineLevel="0" collapsed="false">
      <c r="B83" s="8" t="s">
        <v>118</v>
      </c>
      <c r="C83" s="7" t="n">
        <v>20</v>
      </c>
      <c r="AB83" s="7" t="n">
        <v>100</v>
      </c>
      <c r="AD83" s="7" t="n">
        <v>15</v>
      </c>
    </row>
    <row r="84" customFormat="false" ht="15" hidden="false" customHeight="false" outlineLevel="0" collapsed="false">
      <c r="B84" s="8" t="s">
        <v>119</v>
      </c>
      <c r="C84" s="7" t="n">
        <v>30</v>
      </c>
      <c r="AB84" s="7" t="n">
        <v>15</v>
      </c>
      <c r="AD84" s="7" t="n">
        <v>0</v>
      </c>
    </row>
    <row r="85" customFormat="false" ht="15" hidden="false" customHeight="false" outlineLevel="0" collapsed="false">
      <c r="B85" s="8" t="s">
        <v>120</v>
      </c>
      <c r="C85" s="7" t="n">
        <v>50</v>
      </c>
      <c r="AB85" s="7" t="n">
        <v>0</v>
      </c>
      <c r="AD85" s="7" t="n">
        <v>15</v>
      </c>
    </row>
    <row r="86" customFormat="false" ht="15" hidden="false" customHeight="false" outlineLevel="0" collapsed="false">
      <c r="B86" s="8" t="s">
        <v>121</v>
      </c>
      <c r="C86" s="7" t="n">
        <v>100</v>
      </c>
      <c r="AB86" s="7" t="n">
        <v>15</v>
      </c>
      <c r="AD86" s="7" t="n">
        <v>15</v>
      </c>
    </row>
    <row r="87" customFormat="false" ht="15" hidden="false" customHeight="false" outlineLevel="0" collapsed="false">
      <c r="B87" s="8" t="s">
        <v>122</v>
      </c>
      <c r="C87" s="7" t="n">
        <v>15</v>
      </c>
      <c r="AB87" s="7" t="n">
        <v>15</v>
      </c>
      <c r="AD87" s="7" t="n">
        <v>20</v>
      </c>
    </row>
    <row r="88" customFormat="false" ht="15" hidden="false" customHeight="false" outlineLevel="0" collapsed="false">
      <c r="B88" s="8" t="s">
        <v>123</v>
      </c>
      <c r="C88" s="7" t="n">
        <v>0</v>
      </c>
      <c r="AB88" s="7" t="n">
        <v>20</v>
      </c>
      <c r="AD88" s="7" t="n">
        <v>30</v>
      </c>
    </row>
    <row r="89" customFormat="false" ht="15" hidden="false" customHeight="false" outlineLevel="0" collapsed="false">
      <c r="B89" s="8" t="s">
        <v>124</v>
      </c>
      <c r="C89" s="7" t="n">
        <v>15</v>
      </c>
      <c r="AB89" s="7" t="n">
        <v>30</v>
      </c>
      <c r="AD89" s="7" t="n">
        <v>30</v>
      </c>
    </row>
    <row r="90" customFormat="false" ht="15" hidden="false" customHeight="false" outlineLevel="0" collapsed="false">
      <c r="B90" s="8" t="s">
        <v>125</v>
      </c>
      <c r="C90" s="7" t="n">
        <v>15</v>
      </c>
      <c r="AB90" s="7" t="n">
        <v>30</v>
      </c>
      <c r="AD90" s="7" t="n">
        <v>35</v>
      </c>
    </row>
    <row r="91" customFormat="false" ht="15" hidden="false" customHeight="false" outlineLevel="0" collapsed="false">
      <c r="B91" s="8" t="s">
        <v>126</v>
      </c>
      <c r="C91" s="7" t="n">
        <v>20</v>
      </c>
      <c r="AB91" s="7" t="n">
        <v>35</v>
      </c>
      <c r="AD91" s="7" t="n">
        <v>40</v>
      </c>
    </row>
    <row r="92" customFormat="false" ht="15" hidden="false" customHeight="false" outlineLevel="0" collapsed="false">
      <c r="B92" s="8" t="s">
        <v>127</v>
      </c>
      <c r="C92" s="7" t="n">
        <v>30</v>
      </c>
      <c r="AB92" s="7" t="n">
        <v>40</v>
      </c>
      <c r="AD92" s="7" t="n">
        <v>30</v>
      </c>
    </row>
    <row r="93" customFormat="false" ht="15" hidden="false" customHeight="false" outlineLevel="0" collapsed="false">
      <c r="B93" s="8" t="s">
        <v>128</v>
      </c>
      <c r="C93" s="7" t="n">
        <v>30</v>
      </c>
      <c r="AB93" s="7" t="n">
        <v>30</v>
      </c>
      <c r="AD93" s="7" t="n">
        <v>40</v>
      </c>
    </row>
    <row r="94" customFormat="false" ht="15" hidden="false" customHeight="false" outlineLevel="0" collapsed="false">
      <c r="B94" s="8" t="s">
        <v>129</v>
      </c>
      <c r="C94" s="7" t="n">
        <v>35</v>
      </c>
      <c r="AB94" s="7" t="n">
        <v>40</v>
      </c>
      <c r="AD94" s="7" t="n">
        <v>30</v>
      </c>
    </row>
    <row r="95" customFormat="false" ht="15" hidden="false" customHeight="false" outlineLevel="0" collapsed="false">
      <c r="B95" s="8" t="s">
        <v>130</v>
      </c>
      <c r="C95" s="7" t="n">
        <v>40</v>
      </c>
      <c r="AB95" s="7" t="n">
        <v>30</v>
      </c>
      <c r="AD95" s="7" t="n">
        <v>20</v>
      </c>
    </row>
    <row r="96" customFormat="false" ht="15" hidden="false" customHeight="false" outlineLevel="0" collapsed="false">
      <c r="B96" s="8" t="s">
        <v>131</v>
      </c>
      <c r="C96" s="7" t="n">
        <v>30</v>
      </c>
      <c r="AB96" s="7" t="n">
        <v>20</v>
      </c>
      <c r="AD96" s="7" t="n">
        <v>60</v>
      </c>
    </row>
    <row r="97" customFormat="false" ht="15" hidden="false" customHeight="false" outlineLevel="0" collapsed="false">
      <c r="B97" s="8" t="s">
        <v>132</v>
      </c>
      <c r="C97" s="7" t="n">
        <v>40</v>
      </c>
      <c r="AB97" s="7" t="n">
        <v>60</v>
      </c>
      <c r="AD97" s="7" t="n">
        <v>60</v>
      </c>
    </row>
    <row r="98" customFormat="false" ht="15" hidden="false" customHeight="false" outlineLevel="0" collapsed="false">
      <c r="B98" s="8" t="s">
        <v>133</v>
      </c>
      <c r="C98" s="7" t="n">
        <v>30</v>
      </c>
      <c r="AB98" s="7" t="n">
        <v>60</v>
      </c>
      <c r="AD98" s="7" t="n">
        <v>35</v>
      </c>
    </row>
    <row r="99" customFormat="false" ht="15" hidden="false" customHeight="false" outlineLevel="0" collapsed="false">
      <c r="B99" s="8" t="s">
        <v>134</v>
      </c>
      <c r="C99" s="7" t="n">
        <v>20</v>
      </c>
      <c r="AB99" s="7" t="n">
        <v>35</v>
      </c>
      <c r="AD99" s="7" t="n">
        <v>0</v>
      </c>
    </row>
    <row r="100" customFormat="false" ht="15" hidden="false" customHeight="false" outlineLevel="0" collapsed="false">
      <c r="B100" s="8" t="s">
        <v>135</v>
      </c>
      <c r="C100" s="7" t="n">
        <v>60</v>
      </c>
      <c r="AB100" s="7" t="n">
        <v>0</v>
      </c>
      <c r="AD100" s="7" t="n">
        <v>35</v>
      </c>
    </row>
    <row r="101" customFormat="false" ht="15" hidden="false" customHeight="false" outlineLevel="0" collapsed="false">
      <c r="B101" s="8" t="s">
        <v>136</v>
      </c>
      <c r="C101" s="7" t="n">
        <v>60</v>
      </c>
      <c r="AB101" s="7" t="n">
        <v>35</v>
      </c>
      <c r="AD101" s="7" t="n">
        <v>30</v>
      </c>
    </row>
    <row r="102" customFormat="false" ht="15" hidden="false" customHeight="false" outlineLevel="0" collapsed="false">
      <c r="B102" s="8" t="s">
        <v>137</v>
      </c>
      <c r="C102" s="7" t="n">
        <v>35</v>
      </c>
      <c r="AB102" s="7" t="n">
        <v>30</v>
      </c>
      <c r="AD102" s="7" t="n">
        <v>30</v>
      </c>
    </row>
    <row r="103" customFormat="false" ht="15" hidden="false" customHeight="false" outlineLevel="0" collapsed="false">
      <c r="B103" s="8" t="s">
        <v>138</v>
      </c>
      <c r="C103" s="7" t="n">
        <v>0</v>
      </c>
      <c r="AB103" s="7" t="n">
        <v>30</v>
      </c>
      <c r="AD103" s="7" t="n">
        <v>35</v>
      </c>
    </row>
    <row r="104" customFormat="false" ht="15" hidden="false" customHeight="false" outlineLevel="0" collapsed="false">
      <c r="B104" s="8" t="s">
        <v>139</v>
      </c>
      <c r="C104" s="7" t="n">
        <v>35</v>
      </c>
      <c r="AB104" s="7" t="n">
        <v>35</v>
      </c>
      <c r="AD104" s="7" t="n">
        <v>30</v>
      </c>
    </row>
    <row r="105" customFormat="false" ht="15" hidden="false" customHeight="false" outlineLevel="0" collapsed="false">
      <c r="B105" s="8" t="s">
        <v>140</v>
      </c>
      <c r="C105" s="7" t="n">
        <v>30</v>
      </c>
      <c r="AB105" s="7" t="n">
        <v>30</v>
      </c>
      <c r="AD105" s="7" t="n">
        <v>35</v>
      </c>
    </row>
    <row r="106" customFormat="false" ht="15" hidden="false" customHeight="false" outlineLevel="0" collapsed="false">
      <c r="B106" s="8" t="s">
        <v>141</v>
      </c>
      <c r="C106" s="7" t="n">
        <v>30</v>
      </c>
      <c r="AB106" s="7" t="n">
        <v>35</v>
      </c>
      <c r="AD106" s="7" t="n">
        <v>30</v>
      </c>
    </row>
    <row r="107" customFormat="false" ht="15" hidden="false" customHeight="false" outlineLevel="0" collapsed="false">
      <c r="B107" s="8" t="s">
        <v>142</v>
      </c>
      <c r="C107" s="7" t="n">
        <v>35</v>
      </c>
      <c r="AB107" s="7" t="n">
        <v>30</v>
      </c>
      <c r="AD107" s="7" t="n">
        <v>40</v>
      </c>
    </row>
    <row r="108" customFormat="false" ht="15" hidden="false" customHeight="false" outlineLevel="0" collapsed="false">
      <c r="B108" s="8" t="s">
        <v>143</v>
      </c>
      <c r="C108" s="7" t="n">
        <v>30</v>
      </c>
      <c r="AB108" s="7" t="n">
        <v>40</v>
      </c>
      <c r="AD108" s="7" t="n">
        <v>80</v>
      </c>
    </row>
    <row r="109" customFormat="false" ht="15" hidden="false" customHeight="false" outlineLevel="0" collapsed="false">
      <c r="B109" s="8" t="s">
        <v>144</v>
      </c>
      <c r="C109" s="7" t="n">
        <v>35</v>
      </c>
      <c r="AB109" s="7" t="n">
        <v>80</v>
      </c>
      <c r="AD109" s="7" t="n">
        <v>15</v>
      </c>
    </row>
    <row r="110" customFormat="false" ht="15" hidden="false" customHeight="false" outlineLevel="0" collapsed="false">
      <c r="B110" s="8" t="s">
        <v>145</v>
      </c>
      <c r="C110" s="7" t="n">
        <v>30</v>
      </c>
      <c r="AB110" s="7" t="n">
        <v>15</v>
      </c>
      <c r="AD110" s="7" t="n">
        <v>15</v>
      </c>
    </row>
    <row r="111" customFormat="false" ht="15" hidden="false" customHeight="false" outlineLevel="0" collapsed="false">
      <c r="B111" s="8" t="s">
        <v>146</v>
      </c>
      <c r="C111" s="7" t="n">
        <v>40</v>
      </c>
      <c r="AB111" s="7" t="n">
        <v>15</v>
      </c>
      <c r="AD111" s="7" t="n">
        <v>0</v>
      </c>
    </row>
    <row r="112" customFormat="false" ht="15" hidden="false" customHeight="false" outlineLevel="0" collapsed="false">
      <c r="B112" s="8" t="s">
        <v>147</v>
      </c>
      <c r="C112" s="7" t="n">
        <v>80</v>
      </c>
      <c r="AB112" s="7" t="n">
        <v>0</v>
      </c>
      <c r="AD112" s="7" t="n">
        <v>30</v>
      </c>
    </row>
    <row r="113" customFormat="false" ht="15" hidden="false" customHeight="false" outlineLevel="0" collapsed="false">
      <c r="B113" s="8" t="s">
        <v>148</v>
      </c>
      <c r="C113" s="7" t="n">
        <v>15</v>
      </c>
      <c r="AB113" s="7" t="n">
        <v>30</v>
      </c>
      <c r="AD113" s="7" t="n">
        <v>20</v>
      </c>
    </row>
    <row r="114" customFormat="false" ht="15" hidden="false" customHeight="false" outlineLevel="0" collapsed="false">
      <c r="B114" s="8" t="s">
        <v>149</v>
      </c>
      <c r="C114" s="7" t="n">
        <v>15</v>
      </c>
      <c r="AB114" s="7" t="n">
        <v>20</v>
      </c>
      <c r="AD114" s="7" t="n">
        <v>30</v>
      </c>
    </row>
    <row r="115" customFormat="false" ht="15" hidden="false" customHeight="false" outlineLevel="0" collapsed="false">
      <c r="B115" s="8" t="s">
        <v>150</v>
      </c>
      <c r="C115" s="7" t="n">
        <v>0</v>
      </c>
      <c r="AB115" s="7" t="n">
        <v>30</v>
      </c>
      <c r="AD115" s="7" t="n">
        <v>30</v>
      </c>
    </row>
    <row r="116" customFormat="false" ht="15" hidden="false" customHeight="false" outlineLevel="0" collapsed="false">
      <c r="B116" s="8" t="s">
        <v>151</v>
      </c>
      <c r="C116" s="7" t="n">
        <v>30</v>
      </c>
      <c r="AB116" s="7" t="n">
        <v>30</v>
      </c>
      <c r="AD116" s="7" t="n">
        <v>35</v>
      </c>
    </row>
    <row r="117" customFormat="false" ht="15" hidden="false" customHeight="false" outlineLevel="0" collapsed="false">
      <c r="B117" s="8" t="s">
        <v>152</v>
      </c>
      <c r="C117" s="7" t="n">
        <v>20</v>
      </c>
      <c r="AB117" s="7" t="n">
        <v>35</v>
      </c>
      <c r="AD117" s="7" t="n">
        <v>40</v>
      </c>
    </row>
    <row r="118" customFormat="false" ht="15" hidden="false" customHeight="false" outlineLevel="0" collapsed="false">
      <c r="B118" s="8" t="s">
        <v>153</v>
      </c>
      <c r="C118" s="7" t="n">
        <v>30</v>
      </c>
      <c r="AB118" s="7" t="n">
        <v>40</v>
      </c>
      <c r="AD118" s="7" t="n">
        <v>25</v>
      </c>
    </row>
    <row r="119" customFormat="false" ht="15" hidden="false" customHeight="false" outlineLevel="0" collapsed="false">
      <c r="B119" s="8" t="s">
        <v>154</v>
      </c>
      <c r="C119" s="7" t="n">
        <v>30</v>
      </c>
      <c r="AB119" s="7" t="n">
        <v>25</v>
      </c>
      <c r="AD119" s="7" t="n">
        <v>35</v>
      </c>
    </row>
    <row r="120" customFormat="false" ht="15" hidden="false" customHeight="false" outlineLevel="0" collapsed="false">
      <c r="B120" s="8" t="s">
        <v>155</v>
      </c>
      <c r="C120" s="7" t="n">
        <v>35</v>
      </c>
      <c r="AB120" s="7" t="n">
        <v>35</v>
      </c>
      <c r="AD120" s="7" t="n">
        <v>35</v>
      </c>
    </row>
    <row r="121" customFormat="false" ht="15" hidden="false" customHeight="false" outlineLevel="0" collapsed="false">
      <c r="B121" s="8" t="s">
        <v>156</v>
      </c>
      <c r="C121" s="7" t="n">
        <v>40</v>
      </c>
      <c r="AB121" s="7" t="n">
        <v>35</v>
      </c>
      <c r="AD121" s="7" t="n">
        <v>35</v>
      </c>
    </row>
    <row r="122" customFormat="false" ht="15" hidden="false" customHeight="false" outlineLevel="0" collapsed="false">
      <c r="B122" s="8" t="s">
        <v>157</v>
      </c>
      <c r="C122" s="7" t="n">
        <v>25</v>
      </c>
      <c r="AB122" s="7" t="n">
        <v>35</v>
      </c>
      <c r="AD122" s="7" t="n">
        <v>65</v>
      </c>
    </row>
    <row r="123" customFormat="false" ht="15" hidden="false" customHeight="false" outlineLevel="0" collapsed="false">
      <c r="B123" s="8" t="s">
        <v>158</v>
      </c>
      <c r="C123" s="7" t="n">
        <v>35</v>
      </c>
      <c r="AB123" s="7" t="n">
        <v>65</v>
      </c>
      <c r="AD123" s="7" t="n">
        <v>65</v>
      </c>
    </row>
    <row r="124" customFormat="false" ht="15" hidden="false" customHeight="false" outlineLevel="0" collapsed="false">
      <c r="B124" s="8" t="s">
        <v>159</v>
      </c>
      <c r="C124" s="7" t="n">
        <v>35</v>
      </c>
      <c r="AB124" s="7" t="n">
        <v>65</v>
      </c>
      <c r="AD124" s="7" t="n">
        <v>65</v>
      </c>
    </row>
    <row r="125" customFormat="false" ht="15" hidden="false" customHeight="false" outlineLevel="0" collapsed="false">
      <c r="B125" s="8" t="s">
        <v>160</v>
      </c>
      <c r="C125" s="7" t="n">
        <v>35</v>
      </c>
      <c r="AB125" s="7" t="n">
        <v>65</v>
      </c>
      <c r="AD125" s="7"/>
    </row>
    <row r="126" customFormat="false" ht="15" hidden="false" customHeight="false" outlineLevel="0" collapsed="false">
      <c r="B126" s="8" t="s">
        <v>161</v>
      </c>
      <c r="C126" s="7" t="n">
        <v>80</v>
      </c>
      <c r="AB126" s="7" t="n">
        <v>70</v>
      </c>
      <c r="AD126" s="7" t="n">
        <v>40</v>
      </c>
    </row>
    <row r="127" customFormat="false" ht="15" hidden="false" customHeight="false" outlineLevel="0" collapsed="false">
      <c r="B127" s="8" t="s">
        <v>162</v>
      </c>
      <c r="C127" s="7" t="n">
        <v>65</v>
      </c>
      <c r="AB127" s="7" t="n">
        <v>40</v>
      </c>
      <c r="AD127" s="7" t="n">
        <v>30</v>
      </c>
    </row>
    <row r="128" customFormat="false" ht="15" hidden="false" customHeight="false" outlineLevel="0" collapsed="false">
      <c r="B128" s="8" t="s">
        <v>163</v>
      </c>
      <c r="C128" s="7" t="n">
        <v>65</v>
      </c>
      <c r="AB128" s="7" t="n">
        <v>30</v>
      </c>
      <c r="AD128" s="7" t="n">
        <v>0</v>
      </c>
    </row>
    <row r="129" customFormat="false" ht="15" hidden="false" customHeight="false" outlineLevel="0" collapsed="false">
      <c r="B129" s="8" t="s">
        <v>164</v>
      </c>
      <c r="C129" s="7" t="n">
        <v>65</v>
      </c>
      <c r="AB129" s="7" t="n">
        <v>0</v>
      </c>
      <c r="AD129" s="7" t="n">
        <v>25</v>
      </c>
    </row>
    <row r="130" customFormat="false" ht="15" hidden="false" customHeight="false" outlineLevel="0" collapsed="false">
      <c r="B130" s="8" t="s">
        <v>165</v>
      </c>
      <c r="C130" s="7" t="n">
        <v>70</v>
      </c>
      <c r="AB130" s="7" t="n">
        <v>25</v>
      </c>
      <c r="AD130" s="7" t="n">
        <v>30</v>
      </c>
    </row>
    <row r="131" customFormat="false" ht="15" hidden="false" customHeight="false" outlineLevel="0" collapsed="false">
      <c r="B131" s="8" t="s">
        <v>166</v>
      </c>
      <c r="C131" s="7" t="n">
        <v>40</v>
      </c>
      <c r="AB131" s="7" t="n">
        <v>30</v>
      </c>
      <c r="AD131" s="7" t="n">
        <v>40</v>
      </c>
    </row>
    <row r="132" customFormat="false" ht="15" hidden="false" customHeight="false" outlineLevel="0" collapsed="false">
      <c r="B132" s="8" t="s">
        <v>167</v>
      </c>
      <c r="C132" s="7" t="n">
        <v>30</v>
      </c>
      <c r="AB132" s="7" t="n">
        <v>40</v>
      </c>
      <c r="AD132" s="7" t="n">
        <v>25</v>
      </c>
    </row>
    <row r="133" customFormat="false" ht="15" hidden="false" customHeight="false" outlineLevel="0" collapsed="false">
      <c r="B133" s="8" t="s">
        <v>168</v>
      </c>
      <c r="C133" s="7" t="n">
        <v>0</v>
      </c>
      <c r="AB133" s="7" t="n">
        <v>25</v>
      </c>
      <c r="AD133" s="7" t="n">
        <v>40</v>
      </c>
    </row>
    <row r="134" customFormat="false" ht="15" hidden="false" customHeight="false" outlineLevel="0" collapsed="false">
      <c r="B134" s="8" t="s">
        <v>169</v>
      </c>
      <c r="C134" s="7" t="n">
        <v>25</v>
      </c>
      <c r="AB134" s="7" t="n">
        <v>40</v>
      </c>
      <c r="AD134" s="7" t="n">
        <v>20</v>
      </c>
    </row>
    <row r="135" customFormat="false" ht="15" hidden="false" customHeight="false" outlineLevel="0" collapsed="false">
      <c r="B135" s="8" t="s">
        <v>170</v>
      </c>
      <c r="C135" s="7" t="n">
        <v>30</v>
      </c>
      <c r="AB135" s="7" t="n">
        <v>20</v>
      </c>
      <c r="AD135" s="7"/>
    </row>
    <row r="136" customFormat="false" ht="15" hidden="false" customHeight="false" outlineLevel="0" collapsed="false">
      <c r="B136" s="8" t="s">
        <v>171</v>
      </c>
      <c r="C136" s="7" t="n">
        <v>60</v>
      </c>
      <c r="AB136" s="7" t="n">
        <v>180</v>
      </c>
      <c r="AD136" s="7" t="n">
        <v>40</v>
      </c>
    </row>
    <row r="137" customFormat="false" ht="15" hidden="false" customHeight="false" outlineLevel="0" collapsed="false">
      <c r="B137" s="8" t="s">
        <v>172</v>
      </c>
      <c r="C137" s="7" t="n">
        <v>40</v>
      </c>
      <c r="AB137" s="7" t="n">
        <v>40</v>
      </c>
      <c r="AD137" s="7" t="n">
        <v>80</v>
      </c>
    </row>
    <row r="138" customFormat="false" ht="15" hidden="false" customHeight="false" outlineLevel="0" collapsed="false">
      <c r="B138" s="8" t="s">
        <v>173</v>
      </c>
      <c r="C138" s="7" t="n">
        <v>25</v>
      </c>
      <c r="AB138" s="7" t="n">
        <v>80</v>
      </c>
      <c r="AD138" s="7" t="n">
        <v>30</v>
      </c>
    </row>
    <row r="139" customFormat="false" ht="15" hidden="false" customHeight="false" outlineLevel="0" collapsed="false">
      <c r="B139" s="8" t="s">
        <v>174</v>
      </c>
      <c r="C139" s="7" t="n">
        <v>40</v>
      </c>
      <c r="AB139" s="7" t="n">
        <v>30</v>
      </c>
      <c r="AD139" s="7" t="n">
        <v>30</v>
      </c>
    </row>
    <row r="140" customFormat="false" ht="15" hidden="false" customHeight="false" outlineLevel="0" collapsed="false">
      <c r="B140" s="8" t="s">
        <v>175</v>
      </c>
      <c r="C140" s="7" t="n">
        <v>20</v>
      </c>
      <c r="AB140" s="7" t="n">
        <v>30</v>
      </c>
      <c r="AD140" s="7" t="n">
        <v>15</v>
      </c>
    </row>
    <row r="141" customFormat="false" ht="15" hidden="false" customHeight="false" outlineLevel="0" collapsed="false">
      <c r="B141" s="8" t="s">
        <v>176</v>
      </c>
      <c r="C141" s="7" t="n">
        <v>180</v>
      </c>
      <c r="AB141" s="7" t="n">
        <v>15</v>
      </c>
      <c r="AD141" s="7" t="n">
        <v>0</v>
      </c>
    </row>
    <row r="142" customFormat="false" ht="15" hidden="false" customHeight="false" outlineLevel="0" collapsed="false">
      <c r="B142" s="8" t="s">
        <v>177</v>
      </c>
      <c r="C142" s="7" t="n">
        <v>40</v>
      </c>
      <c r="AB142" s="7" t="n">
        <v>0</v>
      </c>
      <c r="AD142" s="7" t="n">
        <v>15</v>
      </c>
    </row>
    <row r="143" customFormat="false" ht="15" hidden="false" customHeight="false" outlineLevel="0" collapsed="false">
      <c r="B143" s="8" t="s">
        <v>178</v>
      </c>
      <c r="C143" s="7" t="n">
        <v>80</v>
      </c>
      <c r="AB143" s="7" t="n">
        <v>15</v>
      </c>
      <c r="AD143" s="7" t="n">
        <v>15</v>
      </c>
    </row>
    <row r="144" customFormat="false" ht="15" hidden="false" customHeight="false" outlineLevel="0" collapsed="false">
      <c r="B144" s="8" t="s">
        <v>179</v>
      </c>
      <c r="C144" s="7" t="n">
        <v>30</v>
      </c>
      <c r="AB144" s="7" t="n">
        <v>15</v>
      </c>
      <c r="AD144" s="7" t="n">
        <v>20</v>
      </c>
    </row>
    <row r="145" customFormat="false" ht="15" hidden="false" customHeight="false" outlineLevel="0" collapsed="false">
      <c r="B145" s="8" t="s">
        <v>180</v>
      </c>
      <c r="C145" s="7" t="n">
        <v>30</v>
      </c>
      <c r="AB145" s="7" t="n">
        <v>20</v>
      </c>
      <c r="AD145" s="7" t="n">
        <v>30</v>
      </c>
    </row>
    <row r="146" customFormat="false" ht="15" hidden="false" customHeight="false" outlineLevel="0" collapsed="false">
      <c r="B146" s="8" t="s">
        <v>181</v>
      </c>
      <c r="C146" s="7" t="n">
        <v>15</v>
      </c>
      <c r="AB146" s="7" t="n">
        <v>30</v>
      </c>
      <c r="AD146" s="7" t="n">
        <v>35</v>
      </c>
    </row>
    <row r="147" customFormat="false" ht="15" hidden="false" customHeight="false" outlineLevel="0" collapsed="false">
      <c r="B147" s="8" t="s">
        <v>182</v>
      </c>
      <c r="C147" s="7" t="n">
        <v>0</v>
      </c>
      <c r="AB147" s="7" t="n">
        <v>35</v>
      </c>
      <c r="AD147" s="7" t="n">
        <v>20</v>
      </c>
    </row>
    <row r="148" customFormat="false" ht="15" hidden="false" customHeight="false" outlineLevel="0" collapsed="false">
      <c r="B148" s="8" t="s">
        <v>183</v>
      </c>
      <c r="C148" s="7" t="n">
        <v>15</v>
      </c>
      <c r="AB148" s="7" t="n">
        <v>20</v>
      </c>
      <c r="AD148" s="7" t="n">
        <v>35</v>
      </c>
    </row>
    <row r="149" customFormat="false" ht="15" hidden="false" customHeight="false" outlineLevel="0" collapsed="false">
      <c r="B149" s="8" t="s">
        <v>184</v>
      </c>
      <c r="C149" s="7" t="n">
        <v>15</v>
      </c>
      <c r="AB149" s="7" t="n">
        <v>35</v>
      </c>
      <c r="AD149" s="7" t="n">
        <v>40</v>
      </c>
    </row>
    <row r="150" customFormat="false" ht="15" hidden="false" customHeight="false" outlineLevel="0" collapsed="false">
      <c r="B150" s="8" t="s">
        <v>185</v>
      </c>
      <c r="C150" s="7" t="n">
        <v>20</v>
      </c>
      <c r="AB150" s="7" t="n">
        <v>40</v>
      </c>
      <c r="AD150" s="7" t="n">
        <v>40</v>
      </c>
    </row>
    <row r="151" customFormat="false" ht="15" hidden="false" customHeight="false" outlineLevel="0" collapsed="false">
      <c r="B151" s="8" t="s">
        <v>186</v>
      </c>
      <c r="C151" s="7" t="n">
        <v>30</v>
      </c>
      <c r="AB151" s="7" t="n">
        <v>40</v>
      </c>
      <c r="AD151" s="7" t="n">
        <v>70</v>
      </c>
    </row>
    <row r="152" customFormat="false" ht="15" hidden="false" customHeight="false" outlineLevel="0" collapsed="false">
      <c r="B152" s="8" t="s">
        <v>187</v>
      </c>
      <c r="C152" s="7" t="n">
        <v>35</v>
      </c>
      <c r="AB152" s="7" t="n">
        <v>70</v>
      </c>
      <c r="AD152" s="7" t="n">
        <v>70</v>
      </c>
    </row>
    <row r="153" customFormat="false" ht="15" hidden="false" customHeight="false" outlineLevel="0" collapsed="false">
      <c r="B153" s="8" t="s">
        <v>188</v>
      </c>
      <c r="C153" s="7" t="n">
        <v>20</v>
      </c>
      <c r="AB153" s="7" t="n">
        <v>70</v>
      </c>
      <c r="AD153" s="7"/>
    </row>
    <row r="154" customFormat="false" ht="15" hidden="false" customHeight="false" outlineLevel="0" collapsed="false">
      <c r="B154" s="8" t="s">
        <v>189</v>
      </c>
      <c r="C154" s="7" t="n">
        <v>35</v>
      </c>
      <c r="AB154" s="7" t="n">
        <v>70</v>
      </c>
      <c r="AD154" s="7" t="n">
        <v>40</v>
      </c>
    </row>
    <row r="155" customFormat="false" ht="15" hidden="false" customHeight="false" outlineLevel="0" collapsed="false">
      <c r="B155" s="8" t="s">
        <v>190</v>
      </c>
      <c r="C155" s="7" t="n">
        <v>40</v>
      </c>
      <c r="AB155" s="7" t="n">
        <v>40</v>
      </c>
      <c r="AD155" s="7" t="n">
        <v>40</v>
      </c>
    </row>
    <row r="156" customFormat="false" ht="15" hidden="false" customHeight="false" outlineLevel="0" collapsed="false">
      <c r="B156" s="8" t="s">
        <v>191</v>
      </c>
      <c r="C156" s="7" t="n">
        <v>40</v>
      </c>
      <c r="AB156" s="7" t="n">
        <v>40</v>
      </c>
      <c r="AD156" s="7" t="n">
        <v>50</v>
      </c>
    </row>
    <row r="157" customFormat="false" ht="15" hidden="false" customHeight="false" outlineLevel="0" collapsed="false">
      <c r="B157" s="8" t="s">
        <v>192</v>
      </c>
      <c r="C157" s="7" t="n">
        <v>70</v>
      </c>
      <c r="AB157" s="7" t="n">
        <v>50</v>
      </c>
      <c r="AD157" s="7" t="n">
        <v>30</v>
      </c>
    </row>
    <row r="158" customFormat="false" ht="15" hidden="false" customHeight="false" outlineLevel="0" collapsed="false">
      <c r="B158" s="8" t="s">
        <v>193</v>
      </c>
      <c r="C158" s="7" t="n">
        <v>70</v>
      </c>
      <c r="AB158" s="7" t="n">
        <v>30</v>
      </c>
      <c r="AD158" s="7" t="n">
        <v>40</v>
      </c>
    </row>
    <row r="159" customFormat="false" ht="15" hidden="false" customHeight="false" outlineLevel="0" collapsed="false">
      <c r="B159" s="8" t="s">
        <v>194</v>
      </c>
      <c r="C159" s="7" t="n">
        <v>70</v>
      </c>
      <c r="AB159" s="7" t="n">
        <v>40</v>
      </c>
      <c r="AD159" s="7" t="n">
        <v>60</v>
      </c>
    </row>
    <row r="160" customFormat="false" ht="15" hidden="false" customHeight="false" outlineLevel="0" collapsed="false">
      <c r="B160" s="8" t="s">
        <v>195</v>
      </c>
      <c r="C160" s="7" t="n">
        <v>40</v>
      </c>
      <c r="AB160" s="7" t="n">
        <v>60</v>
      </c>
      <c r="AD160" s="7" t="n">
        <v>30</v>
      </c>
    </row>
    <row r="161" customFormat="false" ht="15" hidden="false" customHeight="false" outlineLevel="0" collapsed="false">
      <c r="B161" s="8" t="s">
        <v>196</v>
      </c>
      <c r="C161" s="7" t="n">
        <v>40</v>
      </c>
      <c r="AB161" s="7" t="n">
        <v>30</v>
      </c>
      <c r="AD161" s="7" t="n">
        <v>60</v>
      </c>
    </row>
    <row r="162" customFormat="false" ht="15" hidden="false" customHeight="false" outlineLevel="0" collapsed="false">
      <c r="B162" s="8" t="s">
        <v>197</v>
      </c>
      <c r="C162" s="7" t="n">
        <v>50</v>
      </c>
      <c r="AB162" s="7" t="n">
        <v>60</v>
      </c>
      <c r="AD162" s="7" t="n">
        <v>20</v>
      </c>
    </row>
    <row r="163" customFormat="false" ht="15" hidden="false" customHeight="false" outlineLevel="0" collapsed="false">
      <c r="B163" s="8" t="s">
        <v>198</v>
      </c>
      <c r="C163" s="7" t="n">
        <v>30</v>
      </c>
      <c r="AB163" s="7" t="n">
        <v>20</v>
      </c>
      <c r="AD163" s="7" t="n">
        <v>30</v>
      </c>
    </row>
    <row r="164" customFormat="false" ht="15" hidden="false" customHeight="false" outlineLevel="0" collapsed="false">
      <c r="B164" s="8" t="s">
        <v>199</v>
      </c>
      <c r="C164" s="7" t="n">
        <v>40</v>
      </c>
      <c r="AB164" s="7" t="n">
        <v>30</v>
      </c>
      <c r="AD164" s="7" t="n">
        <v>70</v>
      </c>
    </row>
    <row r="165" customFormat="false" ht="15" hidden="false" customHeight="false" outlineLevel="0" collapsed="false">
      <c r="B165" s="8" t="s">
        <v>200</v>
      </c>
      <c r="C165" s="7" t="n">
        <v>60</v>
      </c>
      <c r="AB165" s="7" t="n">
        <v>70</v>
      </c>
      <c r="AD165" s="7" t="n">
        <v>30</v>
      </c>
    </row>
    <row r="166" customFormat="false" ht="15" hidden="false" customHeight="false" outlineLevel="0" collapsed="false">
      <c r="B166" s="8" t="s">
        <v>201</v>
      </c>
      <c r="C166" s="7" t="n">
        <v>30</v>
      </c>
      <c r="AB166" s="7" t="n">
        <v>30</v>
      </c>
      <c r="AD166" s="7" t="n">
        <v>30</v>
      </c>
    </row>
    <row r="167" customFormat="false" ht="15" hidden="false" customHeight="false" outlineLevel="0" collapsed="false">
      <c r="B167" s="8" t="s">
        <v>202</v>
      </c>
      <c r="C167" s="7" t="n">
        <v>60</v>
      </c>
      <c r="AB167" s="7" t="n">
        <v>30</v>
      </c>
      <c r="AD167" s="7" t="n">
        <v>20</v>
      </c>
    </row>
    <row r="168" customFormat="false" ht="15" hidden="false" customHeight="false" outlineLevel="0" collapsed="false">
      <c r="B168" s="8" t="s">
        <v>203</v>
      </c>
      <c r="C168" s="7" t="n">
        <v>20</v>
      </c>
      <c r="AB168" s="7" t="n">
        <v>20</v>
      </c>
      <c r="AD168" s="7" t="n">
        <v>20</v>
      </c>
    </row>
    <row r="169" customFormat="false" ht="15" hidden="false" customHeight="false" outlineLevel="0" collapsed="false">
      <c r="B169" s="10" t="s">
        <v>204</v>
      </c>
      <c r="C169" s="7" t="n">
        <v>60</v>
      </c>
      <c r="AB169" s="7" t="n">
        <v>20</v>
      </c>
      <c r="AD169" s="7" t="n">
        <v>0</v>
      </c>
    </row>
    <row r="170" customFormat="false" ht="15" hidden="false" customHeight="false" outlineLevel="0" collapsed="false">
      <c r="B170" s="8" t="s">
        <v>205</v>
      </c>
      <c r="C170" s="7" t="n">
        <v>30</v>
      </c>
      <c r="AB170" s="7" t="n">
        <v>0</v>
      </c>
      <c r="AD170" s="7" t="n">
        <v>15</v>
      </c>
    </row>
    <row r="171" customFormat="false" ht="15" hidden="false" customHeight="false" outlineLevel="0" collapsed="false">
      <c r="B171" s="8" t="s">
        <v>206</v>
      </c>
      <c r="C171" s="7" t="n">
        <v>70</v>
      </c>
      <c r="AB171" s="7" t="n">
        <v>15</v>
      </c>
      <c r="AD171" s="7" t="n">
        <v>20</v>
      </c>
    </row>
    <row r="172" customFormat="false" ht="15" hidden="false" customHeight="false" outlineLevel="0" collapsed="false">
      <c r="B172" s="8" t="s">
        <v>207</v>
      </c>
      <c r="C172" s="7" t="n">
        <v>30</v>
      </c>
      <c r="AB172" s="7" t="n">
        <v>20</v>
      </c>
      <c r="AD172" s="7" t="n">
        <v>20</v>
      </c>
    </row>
    <row r="173" customFormat="false" ht="15" hidden="false" customHeight="false" outlineLevel="0" collapsed="false">
      <c r="B173" s="8" t="s">
        <v>208</v>
      </c>
      <c r="C173" s="7" t="n">
        <v>30</v>
      </c>
      <c r="AB173" s="7" t="n">
        <v>20</v>
      </c>
      <c r="AD173" s="7" t="n">
        <v>30</v>
      </c>
    </row>
    <row r="174" customFormat="false" ht="15" hidden="false" customHeight="false" outlineLevel="0" collapsed="false">
      <c r="B174" s="8" t="s">
        <v>209</v>
      </c>
      <c r="C174" s="7" t="n">
        <v>20</v>
      </c>
      <c r="AB174" s="7" t="n">
        <v>30</v>
      </c>
      <c r="AD174" s="7" t="n">
        <v>0</v>
      </c>
    </row>
    <row r="175" customFormat="false" ht="15" hidden="false" customHeight="false" outlineLevel="0" collapsed="false">
      <c r="B175" s="8" t="s">
        <v>210</v>
      </c>
      <c r="C175" s="7" t="n">
        <v>20</v>
      </c>
      <c r="AB175" s="7" t="n">
        <v>0</v>
      </c>
      <c r="AD175" s="7" t="n">
        <v>20</v>
      </c>
    </row>
    <row r="176" customFormat="false" ht="15" hidden="false" customHeight="false" outlineLevel="0" collapsed="false">
      <c r="B176" s="8" t="s">
        <v>211</v>
      </c>
      <c r="C176" s="7" t="n">
        <v>0</v>
      </c>
      <c r="AB176" s="7" t="n">
        <v>20</v>
      </c>
      <c r="AD176" s="7" t="n">
        <v>40</v>
      </c>
    </row>
    <row r="177" customFormat="false" ht="15" hidden="false" customHeight="false" outlineLevel="0" collapsed="false">
      <c r="B177" s="8" t="s">
        <v>212</v>
      </c>
      <c r="C177" s="7" t="n">
        <v>15</v>
      </c>
      <c r="AB177" s="7" t="n">
        <v>40</v>
      </c>
      <c r="AD177" s="7" t="n">
        <v>15</v>
      </c>
    </row>
    <row r="178" customFormat="false" ht="15" hidden="false" customHeight="false" outlineLevel="0" collapsed="false">
      <c r="B178" s="8" t="s">
        <v>213</v>
      </c>
      <c r="C178" s="7" t="n">
        <v>20</v>
      </c>
      <c r="AB178" s="7" t="n">
        <v>15</v>
      </c>
      <c r="AD178" s="7" t="n">
        <v>80</v>
      </c>
    </row>
    <row r="179" customFormat="false" ht="15" hidden="false" customHeight="false" outlineLevel="0" collapsed="false">
      <c r="B179" s="8" t="s">
        <v>214</v>
      </c>
      <c r="C179" s="7" t="n">
        <v>20</v>
      </c>
      <c r="AB179" s="7" t="n">
        <v>80</v>
      </c>
      <c r="AD179" s="7" t="n">
        <v>80</v>
      </c>
    </row>
    <row r="180" customFormat="false" ht="15" hidden="false" customHeight="false" outlineLevel="0" collapsed="false">
      <c r="B180" s="8" t="s">
        <v>215</v>
      </c>
      <c r="C180" s="7" t="n">
        <v>30</v>
      </c>
      <c r="AB180" s="7" t="n">
        <v>80</v>
      </c>
      <c r="AD180" s="7"/>
    </row>
    <row r="181" customFormat="false" ht="15" hidden="false" customHeight="false" outlineLevel="0" collapsed="false">
      <c r="B181" s="8" t="s">
        <v>216</v>
      </c>
      <c r="C181" s="7" t="n">
        <v>0</v>
      </c>
      <c r="AB181" s="7" t="n">
        <v>70</v>
      </c>
      <c r="AD181" s="7" t="n">
        <v>40</v>
      </c>
    </row>
    <row r="182" customFormat="false" ht="15" hidden="false" customHeight="false" outlineLevel="0" collapsed="false">
      <c r="B182" s="8" t="s">
        <v>217</v>
      </c>
      <c r="C182" s="7" t="n">
        <v>20</v>
      </c>
      <c r="AB182" s="7" t="n">
        <v>40</v>
      </c>
      <c r="AD182" s="7" t="n">
        <v>50</v>
      </c>
    </row>
    <row r="183" customFormat="false" ht="15" hidden="false" customHeight="false" outlineLevel="0" collapsed="false">
      <c r="B183" s="8" t="s">
        <v>218</v>
      </c>
      <c r="C183" s="7" t="n">
        <v>40</v>
      </c>
      <c r="AB183" s="7" t="n">
        <v>50</v>
      </c>
      <c r="AD183" s="7" t="n">
        <v>80</v>
      </c>
    </row>
    <row r="184" customFormat="false" ht="15" hidden="false" customHeight="false" outlineLevel="0" collapsed="false">
      <c r="B184" s="8" t="s">
        <v>219</v>
      </c>
      <c r="C184" s="7" t="n">
        <v>15</v>
      </c>
      <c r="AB184" s="7" t="n">
        <v>80</v>
      </c>
      <c r="AD184" s="7" t="n">
        <v>80</v>
      </c>
    </row>
    <row r="185" customFormat="false" ht="15" hidden="false" customHeight="false" outlineLevel="0" collapsed="false">
      <c r="B185" s="8" t="s">
        <v>220</v>
      </c>
      <c r="C185" s="7" t="n">
        <v>80</v>
      </c>
      <c r="AB185" s="7" t="n">
        <v>80</v>
      </c>
      <c r="AD185" s="7" t="n">
        <v>50</v>
      </c>
    </row>
    <row r="186" customFormat="false" ht="15" hidden="false" customHeight="false" outlineLevel="0" collapsed="false">
      <c r="B186" s="8" t="s">
        <v>221</v>
      </c>
      <c r="C186" s="7" t="n">
        <v>80</v>
      </c>
      <c r="AB186" s="7" t="n">
        <v>50</v>
      </c>
      <c r="AD186" s="7" t="n">
        <v>80</v>
      </c>
    </row>
    <row r="187" customFormat="false" ht="15" hidden="false" customHeight="false" outlineLevel="0" collapsed="false">
      <c r="B187" s="8" t="s">
        <v>222</v>
      </c>
      <c r="C187" s="7" t="n">
        <v>70</v>
      </c>
      <c r="AB187" s="7" t="n">
        <v>80</v>
      </c>
      <c r="AD187" s="7" t="n">
        <v>80</v>
      </c>
    </row>
    <row r="188" customFormat="false" ht="15" hidden="false" customHeight="false" outlineLevel="0" collapsed="false">
      <c r="B188" s="8" t="s">
        <v>223</v>
      </c>
      <c r="C188" s="7" t="n">
        <v>40</v>
      </c>
      <c r="AB188" s="7" t="n">
        <v>80</v>
      </c>
      <c r="AD188" s="7" t="n">
        <v>80</v>
      </c>
    </row>
    <row r="189" customFormat="false" ht="15" hidden="false" customHeight="false" outlineLevel="0" collapsed="false">
      <c r="B189" s="8" t="s">
        <v>224</v>
      </c>
      <c r="C189" s="7" t="n">
        <v>50</v>
      </c>
      <c r="AB189" s="7" t="n">
        <v>80</v>
      </c>
      <c r="AD189" s="7" t="n">
        <v>30</v>
      </c>
    </row>
    <row r="190" customFormat="false" ht="15" hidden="false" customHeight="false" outlineLevel="0" collapsed="false">
      <c r="B190" s="8" t="s">
        <v>225</v>
      </c>
      <c r="C190" s="7" t="n">
        <v>80</v>
      </c>
      <c r="AB190" s="7" t="n">
        <v>30</v>
      </c>
      <c r="AD190" s="7" t="n">
        <v>30</v>
      </c>
    </row>
    <row r="191" customFormat="false" ht="15" hidden="false" customHeight="false" outlineLevel="0" collapsed="false">
      <c r="B191" s="8" t="s">
        <v>226</v>
      </c>
      <c r="C191" s="7" t="n">
        <v>80</v>
      </c>
      <c r="AB191" s="7" t="n">
        <v>30</v>
      </c>
      <c r="AD191" s="7" t="n">
        <v>70</v>
      </c>
    </row>
    <row r="192" customFormat="false" ht="15" hidden="false" customHeight="false" outlineLevel="0" collapsed="false">
      <c r="B192" s="8" t="s">
        <v>227</v>
      </c>
      <c r="C192" s="7" t="n">
        <v>50</v>
      </c>
      <c r="AB192" s="7" t="n">
        <v>70</v>
      </c>
      <c r="AD192" s="7" t="n">
        <v>35</v>
      </c>
    </row>
    <row r="193" customFormat="false" ht="15" hidden="false" customHeight="false" outlineLevel="0" collapsed="false">
      <c r="B193" s="8" t="s">
        <v>228</v>
      </c>
      <c r="C193" s="7" t="n">
        <v>80</v>
      </c>
      <c r="AB193" s="7" t="n">
        <v>35</v>
      </c>
      <c r="AD193" s="7" t="n">
        <v>30</v>
      </c>
    </row>
    <row r="194" customFormat="false" ht="15" hidden="false" customHeight="false" outlineLevel="0" collapsed="false">
      <c r="B194" s="8" t="s">
        <v>229</v>
      </c>
      <c r="C194" s="7" t="n">
        <v>80</v>
      </c>
      <c r="AB194" s="7" t="n">
        <v>30</v>
      </c>
      <c r="AD194" s="7" t="n">
        <v>30</v>
      </c>
    </row>
    <row r="195" customFormat="false" ht="15" hidden="false" customHeight="false" outlineLevel="0" collapsed="false">
      <c r="B195" s="8" t="s">
        <v>230</v>
      </c>
      <c r="C195" s="7" t="n">
        <v>80</v>
      </c>
      <c r="AB195" s="7" t="n">
        <v>30</v>
      </c>
      <c r="AD195" s="7" t="n">
        <v>15</v>
      </c>
    </row>
    <row r="196" customFormat="false" ht="15" hidden="false" customHeight="false" outlineLevel="0" collapsed="false">
      <c r="B196" s="8" t="s">
        <v>231</v>
      </c>
      <c r="C196" s="7" t="n">
        <v>30</v>
      </c>
      <c r="AB196" s="7" t="n">
        <v>15</v>
      </c>
      <c r="AD196" s="7" t="n">
        <v>10</v>
      </c>
    </row>
    <row r="197" customFormat="false" ht="15" hidden="false" customHeight="false" outlineLevel="0" collapsed="false">
      <c r="B197" s="8" t="s">
        <v>232</v>
      </c>
      <c r="C197" s="7" t="n">
        <v>30</v>
      </c>
      <c r="AB197" s="7" t="n">
        <v>10</v>
      </c>
      <c r="AD197" s="7" t="n">
        <v>0</v>
      </c>
    </row>
    <row r="198" customFormat="false" ht="15" hidden="false" customHeight="false" outlineLevel="0" collapsed="false">
      <c r="B198" s="8" t="s">
        <v>233</v>
      </c>
      <c r="C198" s="7" t="n">
        <v>70</v>
      </c>
      <c r="AB198" s="7" t="n">
        <v>0</v>
      </c>
      <c r="AD198" s="7" t="n">
        <v>20</v>
      </c>
    </row>
    <row r="199" customFormat="false" ht="15" hidden="false" customHeight="false" outlineLevel="0" collapsed="false">
      <c r="B199" s="8" t="s">
        <v>234</v>
      </c>
      <c r="C199" s="7" t="n">
        <v>35</v>
      </c>
      <c r="AB199" s="7" t="n">
        <v>20</v>
      </c>
      <c r="AD199" s="7" t="n">
        <v>20</v>
      </c>
    </row>
    <row r="200" customFormat="false" ht="15" hidden="false" customHeight="false" outlineLevel="0" collapsed="false">
      <c r="B200" s="8" t="s">
        <v>235</v>
      </c>
      <c r="C200" s="7" t="n">
        <v>30</v>
      </c>
      <c r="AB200" s="7" t="n">
        <v>20</v>
      </c>
      <c r="AD200" s="7" t="n">
        <v>30</v>
      </c>
    </row>
    <row r="201" customFormat="false" ht="15" hidden="false" customHeight="false" outlineLevel="0" collapsed="false">
      <c r="B201" s="8" t="s">
        <v>236</v>
      </c>
      <c r="C201" s="7" t="n">
        <v>30</v>
      </c>
      <c r="AB201" s="7" t="n">
        <v>30</v>
      </c>
      <c r="AD201" s="7" t="n">
        <v>40</v>
      </c>
    </row>
    <row r="202" customFormat="false" ht="15" hidden="false" customHeight="false" outlineLevel="0" collapsed="false">
      <c r="B202" s="8" t="s">
        <v>237</v>
      </c>
      <c r="C202" s="7" t="n">
        <v>15</v>
      </c>
      <c r="AB202" s="7" t="n">
        <v>40</v>
      </c>
      <c r="AD202" s="7" t="n">
        <v>20</v>
      </c>
    </row>
    <row r="203" customFormat="false" ht="15" hidden="false" customHeight="false" outlineLevel="0" collapsed="false">
      <c r="B203" s="8" t="s">
        <v>238</v>
      </c>
      <c r="C203" s="7" t="n">
        <v>10</v>
      </c>
      <c r="AB203" s="7" t="n">
        <v>20</v>
      </c>
      <c r="AD203" s="7" t="n">
        <v>50</v>
      </c>
    </row>
    <row r="204" customFormat="false" ht="15" hidden="false" customHeight="false" outlineLevel="0" collapsed="false">
      <c r="B204" s="8" t="s">
        <v>239</v>
      </c>
      <c r="C204" s="7" t="n">
        <v>0</v>
      </c>
      <c r="AB204" s="7" t="n">
        <v>50</v>
      </c>
      <c r="AD204" s="7" t="n">
        <v>15</v>
      </c>
    </row>
    <row r="205" customFormat="false" ht="15" hidden="false" customHeight="false" outlineLevel="0" collapsed="false">
      <c r="B205" s="8" t="s">
        <v>240</v>
      </c>
      <c r="C205" s="7" t="n">
        <v>20</v>
      </c>
      <c r="AB205" s="7" t="n">
        <v>15</v>
      </c>
      <c r="AD205" s="7" t="n">
        <v>80</v>
      </c>
    </row>
    <row r="206" customFormat="false" ht="15" hidden="false" customHeight="false" outlineLevel="0" collapsed="false">
      <c r="B206" s="8" t="s">
        <v>241</v>
      </c>
      <c r="C206" s="7" t="n">
        <v>20</v>
      </c>
      <c r="AB206" s="7" t="n">
        <v>80</v>
      </c>
      <c r="AD206" s="7" t="n">
        <v>80</v>
      </c>
    </row>
    <row r="207" customFormat="false" ht="15" hidden="false" customHeight="false" outlineLevel="0" collapsed="false">
      <c r="B207" s="8" t="s">
        <v>242</v>
      </c>
      <c r="C207" s="7" t="n">
        <v>30</v>
      </c>
      <c r="AB207" s="7" t="n">
        <v>80</v>
      </c>
      <c r="AD207" s="7" t="n">
        <v>40</v>
      </c>
    </row>
    <row r="208" customFormat="false" ht="15" hidden="false" customHeight="false" outlineLevel="0" collapsed="false">
      <c r="B208" s="8" t="s">
        <v>243</v>
      </c>
      <c r="C208" s="7" t="n">
        <v>40</v>
      </c>
      <c r="AB208" s="7" t="n">
        <v>40</v>
      </c>
      <c r="AD208" s="7" t="n">
        <v>50</v>
      </c>
    </row>
    <row r="209" customFormat="false" ht="15" hidden="false" customHeight="false" outlineLevel="0" collapsed="false">
      <c r="B209" s="8" t="s">
        <v>244</v>
      </c>
      <c r="C209" s="7" t="n">
        <v>20</v>
      </c>
      <c r="AB209" s="7" t="n">
        <v>50</v>
      </c>
      <c r="AD209" s="7" t="n">
        <v>80</v>
      </c>
    </row>
    <row r="210" customFormat="false" ht="15" hidden="false" customHeight="false" outlineLevel="0" collapsed="false">
      <c r="B210" s="8" t="s">
        <v>245</v>
      </c>
      <c r="C210" s="7" t="n">
        <v>50</v>
      </c>
      <c r="AB210" s="7" t="n">
        <v>80</v>
      </c>
      <c r="AD210" s="7" t="n">
        <v>80</v>
      </c>
    </row>
    <row r="211" customFormat="false" ht="15" hidden="false" customHeight="false" outlineLevel="0" collapsed="false">
      <c r="B211" s="8" t="s">
        <v>246</v>
      </c>
      <c r="C211" s="7" t="n">
        <v>15</v>
      </c>
      <c r="AB211" s="7" t="n">
        <v>80</v>
      </c>
      <c r="AD211" s="7" t="n">
        <v>80</v>
      </c>
    </row>
    <row r="212" customFormat="false" ht="15" hidden="false" customHeight="false" outlineLevel="0" collapsed="false">
      <c r="B212" s="8" t="s">
        <v>247</v>
      </c>
      <c r="C212" s="7" t="n">
        <v>80</v>
      </c>
      <c r="AB212" s="7" t="n">
        <v>80</v>
      </c>
      <c r="AD212" s="7" t="n">
        <v>80</v>
      </c>
    </row>
    <row r="213" customFormat="false" ht="15" hidden="false" customHeight="false" outlineLevel="0" collapsed="false">
      <c r="B213" s="8" t="s">
        <v>248</v>
      </c>
      <c r="C213" s="7" t="n">
        <v>80</v>
      </c>
      <c r="AB213" s="7" t="n">
        <v>80</v>
      </c>
      <c r="AD213" s="7" t="n">
        <v>80</v>
      </c>
    </row>
    <row r="214" customFormat="false" ht="15" hidden="false" customHeight="false" outlineLevel="0" collapsed="false">
      <c r="B214" s="8" t="s">
        <v>249</v>
      </c>
      <c r="C214" s="7" t="n">
        <v>120</v>
      </c>
      <c r="AB214" s="7" t="n">
        <v>80</v>
      </c>
      <c r="AD214" s="7" t="n">
        <v>80</v>
      </c>
    </row>
    <row r="215" customFormat="false" ht="15" hidden="false" customHeight="false" outlineLevel="0" collapsed="false">
      <c r="B215" s="8" t="s">
        <v>250</v>
      </c>
      <c r="C215" s="7" t="n">
        <v>40</v>
      </c>
      <c r="AB215" s="7" t="n">
        <v>80</v>
      </c>
      <c r="AD215" s="7" t="n">
        <v>40</v>
      </c>
    </row>
    <row r="216" customFormat="false" ht="15" hidden="false" customHeight="false" outlineLevel="0" collapsed="false">
      <c r="B216" s="8" t="s">
        <v>251</v>
      </c>
      <c r="C216" s="7" t="n">
        <v>50</v>
      </c>
      <c r="AB216" s="7" t="n">
        <v>40</v>
      </c>
      <c r="AD216" s="7" t="n">
        <v>40</v>
      </c>
    </row>
    <row r="217" customFormat="false" ht="15" hidden="false" customHeight="false" outlineLevel="0" collapsed="false">
      <c r="B217" s="8" t="s">
        <v>252</v>
      </c>
      <c r="C217" s="7" t="n">
        <v>80</v>
      </c>
      <c r="AB217" s="7" t="n">
        <v>40</v>
      </c>
      <c r="AD217" s="7" t="n">
        <v>60</v>
      </c>
    </row>
    <row r="218" customFormat="false" ht="15" hidden="false" customHeight="false" outlineLevel="0" collapsed="false">
      <c r="B218" s="8" t="s">
        <v>253</v>
      </c>
      <c r="C218" s="7" t="n">
        <v>80</v>
      </c>
      <c r="AB218" s="7" t="n">
        <v>60</v>
      </c>
      <c r="AD218" s="7" t="n">
        <v>35</v>
      </c>
    </row>
    <row r="219" customFormat="false" ht="15" hidden="false" customHeight="false" outlineLevel="0" collapsed="false">
      <c r="B219" s="8" t="s">
        <v>254</v>
      </c>
      <c r="C219" s="7" t="n">
        <v>80</v>
      </c>
      <c r="AB219" s="7" t="n">
        <v>35</v>
      </c>
      <c r="AD219" s="7" t="n">
        <v>30</v>
      </c>
    </row>
    <row r="220" customFormat="false" ht="15" hidden="false" customHeight="false" outlineLevel="0" collapsed="false">
      <c r="B220" s="8" t="s">
        <v>255</v>
      </c>
      <c r="C220" s="7" t="n">
        <v>80</v>
      </c>
      <c r="AB220" s="7" t="n">
        <v>30</v>
      </c>
      <c r="AD220" s="7" t="n">
        <v>30</v>
      </c>
    </row>
    <row r="221" customFormat="false" ht="15" hidden="false" customHeight="false" outlineLevel="0" collapsed="false">
      <c r="B221" s="8" t="s">
        <v>256</v>
      </c>
      <c r="C221" s="7" t="n">
        <v>80</v>
      </c>
      <c r="AB221" s="7" t="n">
        <v>30</v>
      </c>
      <c r="AD221" s="7" t="n">
        <v>20</v>
      </c>
    </row>
    <row r="222" customFormat="false" ht="15" hidden="false" customHeight="false" outlineLevel="0" collapsed="false">
      <c r="B222" s="8" t="s">
        <v>257</v>
      </c>
      <c r="C222" s="7" t="n">
        <v>80</v>
      </c>
      <c r="AB222" s="7" t="n">
        <v>20</v>
      </c>
      <c r="AD222" s="7" t="n">
        <v>15</v>
      </c>
    </row>
    <row r="223" customFormat="false" ht="15" hidden="false" customHeight="false" outlineLevel="0" collapsed="false">
      <c r="B223" s="8" t="s">
        <v>258</v>
      </c>
      <c r="C223" s="7" t="n">
        <v>40</v>
      </c>
      <c r="AB223" s="7" t="n">
        <v>15</v>
      </c>
      <c r="AD223" s="7" t="n">
        <v>15</v>
      </c>
    </row>
    <row r="224" customFormat="false" ht="15" hidden="false" customHeight="false" outlineLevel="0" collapsed="false">
      <c r="B224" s="8" t="s">
        <v>259</v>
      </c>
      <c r="C224" s="7" t="n">
        <v>40</v>
      </c>
      <c r="AB224" s="7" t="n">
        <v>15</v>
      </c>
      <c r="AD224" s="7" t="n">
        <v>0</v>
      </c>
    </row>
    <row r="225" customFormat="false" ht="15" hidden="false" customHeight="false" outlineLevel="0" collapsed="false">
      <c r="B225" s="8" t="s">
        <v>260</v>
      </c>
      <c r="C225" s="7" t="n">
        <v>60</v>
      </c>
      <c r="AB225" s="7" t="n">
        <v>0</v>
      </c>
      <c r="AD225" s="7" t="n">
        <v>20</v>
      </c>
    </row>
    <row r="226" customFormat="false" ht="15" hidden="false" customHeight="false" outlineLevel="0" collapsed="false">
      <c r="B226" s="8" t="s">
        <v>261</v>
      </c>
      <c r="C226" s="7" t="n">
        <v>35</v>
      </c>
      <c r="AB226" s="7" t="n">
        <v>20</v>
      </c>
      <c r="AD226" s="7" t="n">
        <v>20</v>
      </c>
    </row>
    <row r="227" customFormat="false" ht="15" hidden="false" customHeight="false" outlineLevel="0" collapsed="false">
      <c r="B227" s="8" t="s">
        <v>262</v>
      </c>
      <c r="C227" s="7" t="n">
        <v>30</v>
      </c>
      <c r="AB227" s="7" t="n">
        <v>20</v>
      </c>
      <c r="AD227" s="7" t="n">
        <v>40</v>
      </c>
    </row>
    <row r="228" customFormat="false" ht="15" hidden="false" customHeight="false" outlineLevel="0" collapsed="false">
      <c r="B228" s="8" t="s">
        <v>263</v>
      </c>
      <c r="C228" s="7" t="n">
        <v>30</v>
      </c>
      <c r="AB228" s="7" t="n">
        <v>40</v>
      </c>
      <c r="AD228" s="7" t="n">
        <v>15</v>
      </c>
    </row>
    <row r="229" customFormat="false" ht="15" hidden="false" customHeight="false" outlineLevel="0" collapsed="false">
      <c r="B229" s="8" t="s">
        <v>264</v>
      </c>
      <c r="C229" s="7" t="n">
        <v>20</v>
      </c>
      <c r="AB229" s="7" t="n">
        <v>15</v>
      </c>
      <c r="AD229" s="7" t="n">
        <v>50</v>
      </c>
    </row>
    <row r="230" customFormat="false" ht="15" hidden="false" customHeight="false" outlineLevel="0" collapsed="false">
      <c r="B230" s="8" t="s">
        <v>265</v>
      </c>
      <c r="C230" s="7" t="n">
        <v>15</v>
      </c>
      <c r="AB230" s="7" t="n">
        <v>50</v>
      </c>
      <c r="AD230" s="7" t="n">
        <v>30</v>
      </c>
    </row>
    <row r="231" customFormat="false" ht="15" hidden="false" customHeight="false" outlineLevel="0" collapsed="false">
      <c r="B231" s="8" t="s">
        <v>266</v>
      </c>
      <c r="C231" s="7" t="n">
        <v>15</v>
      </c>
      <c r="AB231" s="7" t="n">
        <v>30</v>
      </c>
      <c r="AD231" s="7" t="n">
        <v>80</v>
      </c>
    </row>
    <row r="232" customFormat="false" ht="15" hidden="false" customHeight="false" outlineLevel="0" collapsed="false">
      <c r="B232" s="8" t="s">
        <v>267</v>
      </c>
      <c r="C232" s="7" t="n">
        <v>0</v>
      </c>
      <c r="AB232" s="7" t="n">
        <v>80</v>
      </c>
      <c r="AD232" s="7" t="n">
        <v>80</v>
      </c>
    </row>
    <row r="233" customFormat="false" ht="15" hidden="false" customHeight="false" outlineLevel="0" collapsed="false">
      <c r="B233" s="8" t="s">
        <v>268</v>
      </c>
      <c r="C233" s="7" t="n">
        <v>20</v>
      </c>
      <c r="AB233" s="7" t="n">
        <v>80</v>
      </c>
      <c r="AD233" s="7"/>
    </row>
    <row r="234" customFormat="false" ht="15" hidden="false" customHeight="false" outlineLevel="0" collapsed="false">
      <c r="B234" s="8" t="s">
        <v>269</v>
      </c>
      <c r="C234" s="7" t="n">
        <v>20</v>
      </c>
      <c r="AB234" s="7" t="n">
        <v>80</v>
      </c>
      <c r="AD234" s="7" t="n">
        <v>50</v>
      </c>
    </row>
    <row r="235" customFormat="false" ht="15" hidden="false" customHeight="false" outlineLevel="0" collapsed="false">
      <c r="B235" s="8" t="s">
        <v>270</v>
      </c>
      <c r="C235" s="7" t="n">
        <v>40</v>
      </c>
      <c r="AB235" s="7" t="n">
        <v>50</v>
      </c>
      <c r="AD235" s="7" t="n">
        <v>50</v>
      </c>
    </row>
    <row r="236" customFormat="false" ht="15" hidden="false" customHeight="false" outlineLevel="0" collapsed="false">
      <c r="B236" s="8" t="s">
        <v>271</v>
      </c>
      <c r="C236" s="7" t="n">
        <v>15</v>
      </c>
      <c r="AB236" s="7" t="n">
        <v>50</v>
      </c>
      <c r="AD236" s="7" t="n">
        <v>80</v>
      </c>
    </row>
    <row r="237" customFormat="false" ht="15" hidden="false" customHeight="false" outlineLevel="0" collapsed="false">
      <c r="B237" s="8" t="s">
        <v>272</v>
      </c>
      <c r="C237" s="7" t="n">
        <v>50</v>
      </c>
      <c r="AB237" s="7" t="n">
        <v>80</v>
      </c>
      <c r="AD237" s="7" t="n">
        <v>80</v>
      </c>
    </row>
    <row r="238" customFormat="false" ht="15" hidden="false" customHeight="false" outlineLevel="0" collapsed="false">
      <c r="B238" s="8" t="s">
        <v>273</v>
      </c>
      <c r="C238" s="7" t="n">
        <v>30</v>
      </c>
      <c r="AB238" s="7" t="n">
        <v>80</v>
      </c>
      <c r="AD238" s="7" t="n">
        <v>80</v>
      </c>
    </row>
    <row r="239" customFormat="false" ht="15" hidden="false" customHeight="false" outlineLevel="0" collapsed="false">
      <c r="B239" s="8" t="s">
        <v>274</v>
      </c>
      <c r="C239" s="7" t="n">
        <v>80</v>
      </c>
      <c r="AB239" s="7" t="n">
        <v>80</v>
      </c>
      <c r="AD239" s="7" t="n">
        <v>80</v>
      </c>
    </row>
    <row r="240" customFormat="false" ht="15" hidden="false" customHeight="false" outlineLevel="0" collapsed="false">
      <c r="B240" s="8" t="s">
        <v>275</v>
      </c>
      <c r="C240" s="7" t="n">
        <v>80</v>
      </c>
      <c r="AB240" s="7" t="n">
        <v>80</v>
      </c>
      <c r="AD240" s="7" t="n">
        <v>80</v>
      </c>
    </row>
    <row r="241" customFormat="false" ht="15" hidden="false" customHeight="false" outlineLevel="0" collapsed="false">
      <c r="B241" s="8" t="s">
        <v>276</v>
      </c>
      <c r="C241" s="7" t="n">
        <v>80</v>
      </c>
      <c r="AB241" s="7" t="n">
        <v>80</v>
      </c>
      <c r="AD241" s="7" t="n">
        <v>80</v>
      </c>
    </row>
    <row r="242" customFormat="false" ht="15" hidden="false" customHeight="false" outlineLevel="0" collapsed="false">
      <c r="B242" s="8" t="s">
        <v>277</v>
      </c>
      <c r="C242" s="7" t="n">
        <v>50</v>
      </c>
      <c r="AB242" s="7" t="n">
        <v>80</v>
      </c>
      <c r="AD242" s="7" t="n">
        <v>50</v>
      </c>
    </row>
    <row r="243" customFormat="false" ht="15" hidden="false" customHeight="false" outlineLevel="0" collapsed="false">
      <c r="B243" s="8" t="s">
        <v>278</v>
      </c>
      <c r="C243" s="7" t="n">
        <v>50</v>
      </c>
      <c r="AB243" s="7" t="n">
        <v>50</v>
      </c>
      <c r="AD243" s="7" t="n">
        <v>30</v>
      </c>
    </row>
    <row r="244" customFormat="false" ht="15" hidden="false" customHeight="false" outlineLevel="0" collapsed="false">
      <c r="B244" s="8" t="s">
        <v>279</v>
      </c>
      <c r="C244" s="7" t="n">
        <v>80</v>
      </c>
      <c r="AB244" s="7" t="n">
        <v>30</v>
      </c>
      <c r="AD244" s="7" t="n">
        <v>50</v>
      </c>
    </row>
    <row r="245" customFormat="false" ht="15" hidden="false" customHeight="false" outlineLevel="0" collapsed="false">
      <c r="B245" s="8" t="s">
        <v>280</v>
      </c>
      <c r="C245" s="7" t="n">
        <v>80</v>
      </c>
      <c r="AB245" s="7" t="n">
        <v>50</v>
      </c>
      <c r="AD245" s="7" t="n">
        <v>35</v>
      </c>
    </row>
    <row r="246" customFormat="false" ht="15" hidden="false" customHeight="false" outlineLevel="0" collapsed="false">
      <c r="B246" s="8" t="s">
        <v>281</v>
      </c>
      <c r="C246" s="7" t="n">
        <v>80</v>
      </c>
      <c r="AB246" s="7" t="n">
        <v>35</v>
      </c>
      <c r="AD246" s="7" t="n">
        <v>40</v>
      </c>
    </row>
    <row r="247" customFormat="false" ht="15" hidden="false" customHeight="false" outlineLevel="0" collapsed="false">
      <c r="B247" s="8" t="s">
        <v>282</v>
      </c>
      <c r="C247" s="7" t="n">
        <v>80</v>
      </c>
      <c r="AB247" s="7" t="n">
        <v>40</v>
      </c>
      <c r="AD247" s="7" t="n">
        <v>35</v>
      </c>
    </row>
    <row r="248" customFormat="false" ht="15" hidden="false" customHeight="false" outlineLevel="0" collapsed="false">
      <c r="B248" s="8" t="s">
        <v>283</v>
      </c>
      <c r="C248" s="7" t="n">
        <v>80</v>
      </c>
      <c r="AB248" s="7" t="n">
        <v>35</v>
      </c>
      <c r="AD248" s="7" t="n">
        <v>30</v>
      </c>
    </row>
    <row r="249" customFormat="false" ht="15" hidden="false" customHeight="false" outlineLevel="0" collapsed="false">
      <c r="B249" s="8" t="s">
        <v>284</v>
      </c>
      <c r="C249" s="7" t="n">
        <v>80</v>
      </c>
      <c r="AB249" s="7" t="n">
        <v>30</v>
      </c>
      <c r="AD249" s="7" t="n">
        <v>15</v>
      </c>
    </row>
    <row r="250" customFormat="false" ht="15" hidden="false" customHeight="false" outlineLevel="0" collapsed="false">
      <c r="B250" s="8" t="s">
        <v>285</v>
      </c>
      <c r="C250" s="7" t="n">
        <v>50</v>
      </c>
      <c r="AB250" s="7" t="n">
        <v>15</v>
      </c>
      <c r="AD250" s="7" t="n">
        <v>15</v>
      </c>
    </row>
    <row r="251" customFormat="false" ht="15" hidden="false" customHeight="false" outlineLevel="0" collapsed="false">
      <c r="B251" s="8" t="s">
        <v>286</v>
      </c>
      <c r="C251" s="7" t="n">
        <v>30</v>
      </c>
      <c r="AB251" s="7" t="n">
        <v>15</v>
      </c>
      <c r="AD251" s="7" t="n">
        <v>15</v>
      </c>
    </row>
    <row r="252" customFormat="false" ht="15" hidden="false" customHeight="false" outlineLevel="0" collapsed="false">
      <c r="B252" s="8" t="s">
        <v>287</v>
      </c>
      <c r="C252" s="7" t="n">
        <v>50</v>
      </c>
      <c r="AB252" s="7" t="n">
        <v>15</v>
      </c>
      <c r="AD252" s="7" t="n">
        <v>0</v>
      </c>
    </row>
    <row r="253" customFormat="false" ht="15" hidden="false" customHeight="false" outlineLevel="0" collapsed="false">
      <c r="B253" s="8" t="s">
        <v>288</v>
      </c>
      <c r="C253" s="7" t="n">
        <v>35</v>
      </c>
      <c r="AB253" s="7" t="n">
        <v>0</v>
      </c>
      <c r="AD253" s="7" t="n">
        <v>15</v>
      </c>
    </row>
    <row r="254" customFormat="false" ht="15" hidden="false" customHeight="false" outlineLevel="0" collapsed="false">
      <c r="B254" s="8" t="s">
        <v>289</v>
      </c>
      <c r="C254" s="7" t="n">
        <v>40</v>
      </c>
      <c r="AB254" s="7" t="n">
        <v>15</v>
      </c>
      <c r="AD254" s="7" t="n">
        <v>40</v>
      </c>
    </row>
    <row r="255" customFormat="false" ht="15" hidden="false" customHeight="false" outlineLevel="0" collapsed="false">
      <c r="B255" s="8" t="s">
        <v>290</v>
      </c>
      <c r="C255" s="7" t="n">
        <v>35</v>
      </c>
      <c r="AB255" s="7" t="n">
        <v>40</v>
      </c>
      <c r="AD255" s="7" t="n">
        <v>15</v>
      </c>
    </row>
    <row r="256" customFormat="false" ht="15" hidden="false" customHeight="false" outlineLevel="0" collapsed="false">
      <c r="B256" s="8" t="s">
        <v>291</v>
      </c>
      <c r="C256" s="7" t="n">
        <v>30</v>
      </c>
      <c r="AB256" s="7" t="n">
        <v>15</v>
      </c>
      <c r="AD256" s="7" t="n">
        <v>60</v>
      </c>
    </row>
    <row r="257" customFormat="false" ht="15" hidden="false" customHeight="false" outlineLevel="0" collapsed="false">
      <c r="B257" s="8" t="s">
        <v>292</v>
      </c>
      <c r="C257" s="7" t="n">
        <v>15</v>
      </c>
      <c r="AB257" s="7" t="n">
        <v>60</v>
      </c>
      <c r="AD257" s="7" t="n">
        <v>35</v>
      </c>
    </row>
    <row r="258" customFormat="false" ht="15" hidden="false" customHeight="false" outlineLevel="0" collapsed="false">
      <c r="B258" s="8" t="s">
        <v>293</v>
      </c>
      <c r="C258" s="7" t="n">
        <v>15</v>
      </c>
      <c r="AB258" s="7" t="n">
        <v>35</v>
      </c>
      <c r="AD258" s="7" t="n">
        <v>100</v>
      </c>
    </row>
    <row r="259" customFormat="false" ht="15" hidden="false" customHeight="false" outlineLevel="0" collapsed="false">
      <c r="B259" s="8" t="s">
        <v>294</v>
      </c>
      <c r="C259" s="7" t="n">
        <v>15</v>
      </c>
      <c r="AB259" s="7" t="n">
        <v>100</v>
      </c>
      <c r="AD259" s="7" t="n">
        <v>100</v>
      </c>
    </row>
    <row r="260" customFormat="false" ht="15" hidden="false" customHeight="false" outlineLevel="0" collapsed="false">
      <c r="B260" s="8" t="s">
        <v>295</v>
      </c>
      <c r="C260" s="7" t="n">
        <v>0</v>
      </c>
      <c r="AB260" s="7" t="n">
        <v>100</v>
      </c>
      <c r="AD260" s="7" t="n">
        <v>55</v>
      </c>
    </row>
    <row r="261" customFormat="false" ht="15" hidden="false" customHeight="false" outlineLevel="0" collapsed="false">
      <c r="B261" s="8" t="s">
        <v>296</v>
      </c>
      <c r="C261" s="7" t="n">
        <v>15</v>
      </c>
      <c r="AB261" s="7" t="n">
        <v>55</v>
      </c>
      <c r="AD261" s="7" t="n">
        <v>60</v>
      </c>
    </row>
    <row r="262" customFormat="false" ht="15" hidden="false" customHeight="false" outlineLevel="0" collapsed="false">
      <c r="B262" s="8" t="s">
        <v>297</v>
      </c>
      <c r="C262" s="7" t="n">
        <v>40</v>
      </c>
      <c r="AB262" s="7" t="n">
        <v>60</v>
      </c>
      <c r="AD262" s="7" t="n">
        <v>80</v>
      </c>
    </row>
    <row r="263" customFormat="false" ht="15" hidden="false" customHeight="false" outlineLevel="0" collapsed="false">
      <c r="B263" s="8" t="s">
        <v>298</v>
      </c>
      <c r="C263" s="7" t="n">
        <v>15</v>
      </c>
      <c r="AB263" s="7" t="n">
        <v>80</v>
      </c>
      <c r="AD263" s="7" t="n">
        <v>80</v>
      </c>
    </row>
    <row r="264" customFormat="false" ht="15" hidden="false" customHeight="false" outlineLevel="0" collapsed="false">
      <c r="B264" s="8" t="s">
        <v>299</v>
      </c>
      <c r="C264" s="7" t="n">
        <v>60</v>
      </c>
      <c r="AB264" s="7" t="n">
        <v>80</v>
      </c>
      <c r="AD264" s="7" t="n">
        <v>80</v>
      </c>
    </row>
    <row r="265" customFormat="false" ht="15" hidden="false" customHeight="false" outlineLevel="0" collapsed="false">
      <c r="B265" s="8" t="s">
        <v>300</v>
      </c>
      <c r="C265" s="7" t="n">
        <v>35</v>
      </c>
      <c r="AB265" s="7" t="n">
        <v>80</v>
      </c>
      <c r="AD265" s="7" t="n">
        <v>80</v>
      </c>
    </row>
    <row r="266" customFormat="false" ht="15" hidden="false" customHeight="false" outlineLevel="0" collapsed="false">
      <c r="B266" s="8" t="s">
        <v>301</v>
      </c>
      <c r="C266" s="7" t="n">
        <v>100</v>
      </c>
      <c r="AB266" s="7" t="n">
        <v>80</v>
      </c>
      <c r="AD266" s="7" t="n">
        <v>80</v>
      </c>
    </row>
    <row r="267" customFormat="false" ht="15" hidden="false" customHeight="false" outlineLevel="0" collapsed="false">
      <c r="B267" s="8" t="s">
        <v>302</v>
      </c>
      <c r="C267" s="7" t="n">
        <v>100</v>
      </c>
      <c r="AB267" s="7" t="n">
        <v>80</v>
      </c>
      <c r="AD267" s="7" t="n">
        <v>80</v>
      </c>
    </row>
    <row r="268" customFormat="false" ht="15" hidden="false" customHeight="false" outlineLevel="0" collapsed="false">
      <c r="B268" s="8" t="s">
        <v>303</v>
      </c>
      <c r="C268" s="7" t="n">
        <v>55</v>
      </c>
      <c r="AB268" s="7" t="n">
        <v>80</v>
      </c>
      <c r="AD268" s="7" t="n">
        <v>55</v>
      </c>
    </row>
    <row r="269" customFormat="false" ht="15" hidden="false" customHeight="false" outlineLevel="0" collapsed="false">
      <c r="B269" s="8" t="s">
        <v>304</v>
      </c>
      <c r="C269" s="7" t="n">
        <v>60</v>
      </c>
      <c r="AB269" s="7" t="n">
        <v>55</v>
      </c>
      <c r="AD269" s="7" t="n">
        <v>40</v>
      </c>
    </row>
    <row r="270" customFormat="false" ht="15" hidden="false" customHeight="false" outlineLevel="0" collapsed="false">
      <c r="B270" s="8" t="s">
        <v>305</v>
      </c>
      <c r="C270" s="7" t="n">
        <v>80</v>
      </c>
      <c r="AB270" s="7" t="n">
        <v>40</v>
      </c>
      <c r="AD270" s="7" t="n">
        <v>50</v>
      </c>
    </row>
    <row r="271" customFormat="false" ht="15" hidden="false" customHeight="false" outlineLevel="0" collapsed="false">
      <c r="B271" s="8" t="s">
        <v>306</v>
      </c>
      <c r="C271" s="7" t="n">
        <v>80</v>
      </c>
      <c r="AB271" s="7" t="n">
        <v>50</v>
      </c>
      <c r="AD271" s="7" t="n">
        <v>40</v>
      </c>
    </row>
    <row r="272" customFormat="false" ht="15" hidden="false" customHeight="false" outlineLevel="0" collapsed="false">
      <c r="B272" s="8" t="s">
        <v>307</v>
      </c>
      <c r="C272" s="7" t="n">
        <v>80</v>
      </c>
      <c r="AB272" s="7" t="n">
        <v>40</v>
      </c>
      <c r="AD272" s="7" t="n">
        <v>50</v>
      </c>
    </row>
    <row r="273" customFormat="false" ht="15" hidden="false" customHeight="false" outlineLevel="0" collapsed="false">
      <c r="B273" s="8" t="s">
        <v>308</v>
      </c>
      <c r="C273" s="7" t="n">
        <v>80</v>
      </c>
      <c r="AB273" s="7" t="n">
        <v>50</v>
      </c>
      <c r="AD273" s="7" t="n">
        <v>40</v>
      </c>
    </row>
    <row r="274" customFormat="false" ht="15" hidden="false" customHeight="false" outlineLevel="0" collapsed="false">
      <c r="B274" s="8" t="s">
        <v>309</v>
      </c>
      <c r="C274" s="7" t="n">
        <v>80</v>
      </c>
      <c r="AB274" s="7" t="n">
        <v>40</v>
      </c>
      <c r="AD274" s="7" t="n">
        <v>35</v>
      </c>
    </row>
    <row r="275" customFormat="false" ht="15" hidden="false" customHeight="false" outlineLevel="0" collapsed="false">
      <c r="B275" s="8" t="s">
        <v>310</v>
      </c>
      <c r="C275" s="7" t="n">
        <v>80</v>
      </c>
      <c r="AB275" s="7" t="n">
        <v>35</v>
      </c>
      <c r="AD275" s="7" t="n">
        <v>30</v>
      </c>
    </row>
    <row r="276" customFormat="false" ht="15" hidden="false" customHeight="false" outlineLevel="0" collapsed="false">
      <c r="B276" s="8" t="s">
        <v>311</v>
      </c>
      <c r="C276" s="7" t="n">
        <v>55</v>
      </c>
      <c r="AB276" s="7" t="n">
        <v>30</v>
      </c>
      <c r="AD276" s="7" t="n">
        <v>30</v>
      </c>
    </row>
    <row r="277" customFormat="false" ht="15" hidden="false" customHeight="false" outlineLevel="0" collapsed="false">
      <c r="B277" s="8" t="s">
        <v>312</v>
      </c>
      <c r="C277" s="7" t="n">
        <v>40</v>
      </c>
      <c r="AB277" s="7" t="n">
        <v>30</v>
      </c>
      <c r="AD277" s="7" t="n">
        <v>20</v>
      </c>
    </row>
    <row r="278" customFormat="false" ht="15" hidden="false" customHeight="false" outlineLevel="0" collapsed="false">
      <c r="B278" s="8" t="s">
        <v>313</v>
      </c>
      <c r="C278" s="7" t="n">
        <v>50</v>
      </c>
      <c r="AB278" s="7" t="n">
        <v>20</v>
      </c>
      <c r="AD278" s="7" t="n">
        <v>15</v>
      </c>
    </row>
    <row r="279" customFormat="false" ht="15" hidden="false" customHeight="false" outlineLevel="0" collapsed="false">
      <c r="B279" s="8" t="s">
        <v>314</v>
      </c>
      <c r="C279" s="7" t="n">
        <v>40</v>
      </c>
      <c r="AB279" s="7" t="n">
        <v>15</v>
      </c>
      <c r="AD279" s="7" t="n">
        <v>0</v>
      </c>
    </row>
    <row r="280" customFormat="false" ht="15" hidden="false" customHeight="false" outlineLevel="0" collapsed="false">
      <c r="B280" s="8" t="s">
        <v>315</v>
      </c>
      <c r="C280" s="7" t="n">
        <v>50</v>
      </c>
      <c r="AB280" s="7" t="n">
        <v>0</v>
      </c>
      <c r="AD280" s="7" t="n">
        <v>40</v>
      </c>
    </row>
    <row r="281" customFormat="false" ht="15" hidden="false" customHeight="false" outlineLevel="0" collapsed="false">
      <c r="B281" s="8" t="s">
        <v>316</v>
      </c>
      <c r="C281" s="7" t="n">
        <v>40</v>
      </c>
      <c r="AB281" s="7" t="n">
        <v>40</v>
      </c>
      <c r="AD281" s="7" t="n">
        <v>40</v>
      </c>
    </row>
    <row r="282" customFormat="false" ht="15" hidden="false" customHeight="false" outlineLevel="0" collapsed="false">
      <c r="B282" s="8" t="s">
        <v>317</v>
      </c>
      <c r="C282" s="7" t="n">
        <v>35</v>
      </c>
      <c r="AB282" s="7" t="n">
        <v>40</v>
      </c>
      <c r="AD282" s="7" t="n">
        <v>60</v>
      </c>
    </row>
    <row r="283" customFormat="false" ht="15" hidden="false" customHeight="false" outlineLevel="0" collapsed="false">
      <c r="B283" s="8" t="s">
        <v>318</v>
      </c>
      <c r="C283" s="7" t="n">
        <v>30</v>
      </c>
      <c r="AB283" s="7" t="n">
        <v>60</v>
      </c>
      <c r="AD283" s="7" t="n">
        <v>50</v>
      </c>
    </row>
    <row r="284" customFormat="false" ht="15" hidden="false" customHeight="false" outlineLevel="0" collapsed="false">
      <c r="B284" s="8" t="s">
        <v>319</v>
      </c>
      <c r="C284" s="7" t="n">
        <v>30</v>
      </c>
      <c r="AB284" s="7" t="n">
        <v>50</v>
      </c>
      <c r="AD284" s="7" t="n">
        <v>120</v>
      </c>
    </row>
    <row r="285" customFormat="false" ht="15" hidden="false" customHeight="false" outlineLevel="0" collapsed="false">
      <c r="B285" s="8" t="s">
        <v>320</v>
      </c>
      <c r="C285" s="7" t="n">
        <v>20</v>
      </c>
      <c r="AB285" s="7" t="n">
        <v>120</v>
      </c>
      <c r="AD285" s="7" t="n">
        <v>120</v>
      </c>
    </row>
    <row r="286" customFormat="false" ht="15" hidden="false" customHeight="false" outlineLevel="0" collapsed="false">
      <c r="B286" s="8" t="s">
        <v>321</v>
      </c>
      <c r="C286" s="7" t="n">
        <v>15</v>
      </c>
      <c r="AB286" s="7" t="n">
        <v>120</v>
      </c>
      <c r="AD286" s="7" t="n">
        <v>60</v>
      </c>
    </row>
    <row r="287" customFormat="false" ht="15" hidden="false" customHeight="false" outlineLevel="0" collapsed="false">
      <c r="B287" s="8" t="s">
        <v>322</v>
      </c>
      <c r="C287" s="7" t="n">
        <v>0</v>
      </c>
      <c r="AB287" s="7" t="n">
        <v>60</v>
      </c>
      <c r="AD287" s="7" t="n">
        <v>60</v>
      </c>
    </row>
    <row r="288" customFormat="false" ht="15" hidden="false" customHeight="false" outlineLevel="0" collapsed="false">
      <c r="B288" s="8" t="s">
        <v>323</v>
      </c>
      <c r="C288" s="7" t="n">
        <v>40</v>
      </c>
      <c r="AB288" s="7" t="n">
        <v>60</v>
      </c>
      <c r="AD288" s="7" t="n">
        <v>80</v>
      </c>
    </row>
    <row r="289" customFormat="false" ht="15" hidden="false" customHeight="false" outlineLevel="0" collapsed="false">
      <c r="B289" s="8" t="s">
        <v>324</v>
      </c>
      <c r="C289" s="7" t="n">
        <v>40</v>
      </c>
      <c r="AB289" s="7" t="n">
        <v>80</v>
      </c>
      <c r="AD289" s="7" t="n">
        <v>80</v>
      </c>
    </row>
    <row r="290" customFormat="false" ht="15" hidden="false" customHeight="false" outlineLevel="0" collapsed="false">
      <c r="B290" s="8" t="s">
        <v>325</v>
      </c>
      <c r="C290" s="7" t="n">
        <v>60</v>
      </c>
      <c r="AB290" s="7" t="n">
        <v>80</v>
      </c>
      <c r="AD290" s="7" t="n">
        <v>80</v>
      </c>
    </row>
    <row r="291" customFormat="false" ht="15" hidden="false" customHeight="false" outlineLevel="0" collapsed="false">
      <c r="B291" s="8" t="s">
        <v>326</v>
      </c>
      <c r="C291" s="7" t="n">
        <v>50</v>
      </c>
      <c r="AB291" s="7" t="n">
        <v>80</v>
      </c>
      <c r="AD291" s="7" t="n">
        <v>80</v>
      </c>
    </row>
    <row r="292" customFormat="false" ht="15" hidden="false" customHeight="false" outlineLevel="0" collapsed="false">
      <c r="B292" s="8" t="s">
        <v>327</v>
      </c>
      <c r="C292" s="7" t="n">
        <v>120</v>
      </c>
      <c r="AB292" s="7" t="n">
        <v>80</v>
      </c>
      <c r="AD292" s="7" t="n">
        <v>80</v>
      </c>
    </row>
    <row r="293" customFormat="false" ht="15" hidden="false" customHeight="false" outlineLevel="0" collapsed="false">
      <c r="B293" s="8" t="s">
        <v>328</v>
      </c>
      <c r="C293" s="7" t="n">
        <v>120</v>
      </c>
      <c r="AB293" s="7" t="n">
        <v>80</v>
      </c>
      <c r="AD293" s="7" t="n">
        <v>80</v>
      </c>
    </row>
    <row r="294" customFormat="false" ht="15" hidden="false" customHeight="false" outlineLevel="0" collapsed="false">
      <c r="B294" s="8" t="s">
        <v>329</v>
      </c>
      <c r="C294" s="7" t="n">
        <v>60</v>
      </c>
      <c r="AB294" s="7" t="n">
        <v>80</v>
      </c>
      <c r="AD294" s="7" t="n">
        <v>60</v>
      </c>
    </row>
    <row r="295" customFormat="false" ht="15" hidden="false" customHeight="false" outlineLevel="0" collapsed="false">
      <c r="B295" s="8" t="s">
        <v>330</v>
      </c>
      <c r="C295" s="7" t="n">
        <v>60</v>
      </c>
      <c r="AB295" s="7" t="n">
        <v>60</v>
      </c>
      <c r="AD295" s="7" t="n">
        <v>20</v>
      </c>
    </row>
    <row r="296" customFormat="false" ht="15" hidden="false" customHeight="false" outlineLevel="0" collapsed="false">
      <c r="B296" s="8" t="s">
        <v>331</v>
      </c>
      <c r="C296" s="7" t="n">
        <v>80</v>
      </c>
      <c r="AB296" s="7" t="n">
        <v>20</v>
      </c>
      <c r="AD296" s="7" t="n">
        <v>100</v>
      </c>
    </row>
    <row r="297" customFormat="false" ht="15" hidden="false" customHeight="false" outlineLevel="0" collapsed="false">
      <c r="B297" s="8" t="s">
        <v>332</v>
      </c>
      <c r="C297" s="7" t="n">
        <v>80</v>
      </c>
      <c r="AB297" s="7" t="n">
        <v>100</v>
      </c>
      <c r="AD297" s="7" t="n">
        <v>30</v>
      </c>
    </row>
    <row r="298" customFormat="false" ht="15" hidden="false" customHeight="false" outlineLevel="0" collapsed="false">
      <c r="B298" s="8" t="s">
        <v>333</v>
      </c>
      <c r="C298" s="7" t="n">
        <v>80</v>
      </c>
      <c r="AB298" s="7" t="n">
        <v>30</v>
      </c>
      <c r="AD298" s="7" t="n">
        <v>30</v>
      </c>
    </row>
    <row r="299" customFormat="false" ht="15" hidden="false" customHeight="false" outlineLevel="0" collapsed="false">
      <c r="B299" s="8" t="s">
        <v>334</v>
      </c>
      <c r="C299" s="7" t="n">
        <v>80</v>
      </c>
      <c r="AB299" s="7" t="n">
        <v>30</v>
      </c>
      <c r="AD299" s="7" t="n">
        <v>25</v>
      </c>
    </row>
    <row r="300" customFormat="false" ht="15" hidden="false" customHeight="false" outlineLevel="0" collapsed="false">
      <c r="B300" s="8" t="s">
        <v>335</v>
      </c>
      <c r="C300" s="7" t="n">
        <v>80</v>
      </c>
      <c r="AB300" s="7" t="n">
        <v>25</v>
      </c>
      <c r="AD300" s="7" t="n">
        <v>20</v>
      </c>
    </row>
    <row r="301" customFormat="false" ht="15" hidden="false" customHeight="false" outlineLevel="0" collapsed="false">
      <c r="B301" s="8" t="s">
        <v>336</v>
      </c>
      <c r="C301" s="7" t="n">
        <v>80</v>
      </c>
      <c r="AB301" s="7" t="n">
        <v>20</v>
      </c>
      <c r="AD301" s="7" t="n">
        <v>0</v>
      </c>
    </row>
    <row r="302" customFormat="false" ht="15" hidden="false" customHeight="false" outlineLevel="0" collapsed="false">
      <c r="B302" s="8" t="s">
        <v>337</v>
      </c>
      <c r="C302" s="7" t="n">
        <v>60</v>
      </c>
      <c r="AB302" s="7" t="n">
        <v>0</v>
      </c>
      <c r="AD302" s="7" t="n">
        <v>40</v>
      </c>
    </row>
    <row r="303" customFormat="false" ht="15" hidden="false" customHeight="false" outlineLevel="0" collapsed="false">
      <c r="B303" s="8" t="s">
        <v>338</v>
      </c>
      <c r="C303" s="7" t="n">
        <v>20</v>
      </c>
      <c r="AB303" s="7" t="n">
        <v>40</v>
      </c>
      <c r="AD303" s="7" t="n">
        <v>40</v>
      </c>
    </row>
    <row r="304" customFormat="false" ht="15" hidden="false" customHeight="false" outlineLevel="0" collapsed="false">
      <c r="B304" s="8" t="s">
        <v>339</v>
      </c>
      <c r="C304" s="7" t="n">
        <v>100</v>
      </c>
      <c r="AB304" s="7" t="n">
        <v>40</v>
      </c>
      <c r="AD304" s="7" t="n">
        <v>40</v>
      </c>
    </row>
    <row r="305" customFormat="false" ht="15" hidden="false" customHeight="false" outlineLevel="0" collapsed="false">
      <c r="B305" s="8" t="s">
        <v>340</v>
      </c>
      <c r="C305" s="7" t="n">
        <v>30</v>
      </c>
      <c r="AB305" s="7" t="n">
        <v>40</v>
      </c>
      <c r="AD305" s="7" t="n">
        <v>40</v>
      </c>
    </row>
    <row r="306" customFormat="false" ht="15" hidden="false" customHeight="false" outlineLevel="0" collapsed="false">
      <c r="B306" s="8" t="s">
        <v>341</v>
      </c>
      <c r="C306" s="7" t="n">
        <v>30</v>
      </c>
      <c r="AB306" s="7" t="n">
        <v>40</v>
      </c>
      <c r="AD306" s="7" t="n">
        <v>0</v>
      </c>
    </row>
    <row r="307" customFormat="false" ht="15" hidden="false" customHeight="false" outlineLevel="0" collapsed="false">
      <c r="B307" s="8" t="s">
        <v>342</v>
      </c>
      <c r="C307" s="7" t="n">
        <v>25</v>
      </c>
      <c r="AB307" s="7" t="n">
        <v>0</v>
      </c>
      <c r="AD307" s="7" t="n">
        <v>15</v>
      </c>
    </row>
    <row r="308" customFormat="false" ht="15" hidden="false" customHeight="false" outlineLevel="0" collapsed="false">
      <c r="B308" s="8" t="s">
        <v>343</v>
      </c>
      <c r="C308" s="7" t="n">
        <v>20</v>
      </c>
      <c r="AB308" s="7" t="n">
        <v>15</v>
      </c>
      <c r="AD308" s="7" t="n">
        <v>40</v>
      </c>
    </row>
    <row r="309" customFormat="false" ht="15" hidden="false" customHeight="false" outlineLevel="0" collapsed="false">
      <c r="B309" s="8" t="s">
        <v>344</v>
      </c>
      <c r="C309" s="7" t="n">
        <v>0</v>
      </c>
      <c r="AB309" s="7" t="n">
        <v>40</v>
      </c>
      <c r="AD309" s="7" t="n">
        <v>0</v>
      </c>
    </row>
    <row r="310" customFormat="false" ht="15" hidden="false" customHeight="false" outlineLevel="0" collapsed="false">
      <c r="B310" s="8" t="s">
        <v>345</v>
      </c>
      <c r="C310" s="7" t="n">
        <v>40</v>
      </c>
      <c r="AB310" s="7" t="n">
        <v>0</v>
      </c>
      <c r="AD310" s="7" t="n">
        <v>45</v>
      </c>
    </row>
    <row r="311" customFormat="false" ht="15" hidden="false" customHeight="false" outlineLevel="0" collapsed="false">
      <c r="B311" s="8" t="s">
        <v>346</v>
      </c>
      <c r="C311" s="7" t="n">
        <v>40</v>
      </c>
      <c r="AB311" s="7" t="n">
        <v>45</v>
      </c>
      <c r="AD311" s="7" t="n">
        <v>45</v>
      </c>
    </row>
    <row r="312" customFormat="false" ht="15" hidden="false" customHeight="false" outlineLevel="0" collapsed="false">
      <c r="B312" s="8" t="s">
        <v>347</v>
      </c>
      <c r="C312" s="7" t="n">
        <v>40</v>
      </c>
      <c r="AB312" s="7" t="n">
        <v>45</v>
      </c>
      <c r="AD312" s="7" t="n">
        <v>30</v>
      </c>
    </row>
    <row r="313" customFormat="false" ht="15" hidden="false" customHeight="false" outlineLevel="0" collapsed="false">
      <c r="B313" s="8" t="s">
        <v>348</v>
      </c>
      <c r="C313" s="7" t="n">
        <v>40</v>
      </c>
      <c r="AB313" s="7" t="n">
        <v>30</v>
      </c>
      <c r="AD313" s="7" t="n">
        <v>30</v>
      </c>
    </row>
    <row r="314" customFormat="false" ht="15" hidden="false" customHeight="false" outlineLevel="0" collapsed="false">
      <c r="B314" s="8" t="s">
        <v>349</v>
      </c>
      <c r="C314" s="7" t="n">
        <v>0</v>
      </c>
      <c r="AB314" s="7" t="n">
        <v>30</v>
      </c>
      <c r="AD314" s="7" t="n">
        <v>25</v>
      </c>
    </row>
    <row r="315" customFormat="false" ht="15" hidden="false" customHeight="false" outlineLevel="0" collapsed="false">
      <c r="B315" s="8" t="s">
        <v>350</v>
      </c>
      <c r="C315" s="7" t="n">
        <v>15</v>
      </c>
      <c r="AB315" s="7" t="n">
        <v>25</v>
      </c>
      <c r="AD315" s="7" t="n">
        <v>0</v>
      </c>
    </row>
    <row r="316" customFormat="false" ht="15" hidden="false" customHeight="false" outlineLevel="0" collapsed="false">
      <c r="B316" s="8" t="s">
        <v>351</v>
      </c>
      <c r="C316" s="7" t="n">
        <v>40</v>
      </c>
      <c r="AB316" s="7" t="n">
        <v>0</v>
      </c>
      <c r="AD316" s="7" t="n">
        <v>25</v>
      </c>
    </row>
    <row r="317" customFormat="false" ht="15" hidden="false" customHeight="false" outlineLevel="0" collapsed="false">
      <c r="B317" s="8" t="s">
        <v>352</v>
      </c>
      <c r="C317" s="7" t="n">
        <v>0</v>
      </c>
      <c r="AB317" s="7" t="n">
        <v>25</v>
      </c>
      <c r="AD317" s="7" t="n">
        <v>25</v>
      </c>
    </row>
    <row r="318" customFormat="false" ht="15" hidden="false" customHeight="false" outlineLevel="0" collapsed="false">
      <c r="B318" s="8" t="s">
        <v>353</v>
      </c>
      <c r="C318" s="7" t="n">
        <v>45</v>
      </c>
      <c r="AB318" s="7" t="n">
        <v>25</v>
      </c>
      <c r="AD318" s="7" t="n">
        <v>30</v>
      </c>
    </row>
    <row r="319" customFormat="false" ht="15" hidden="false" customHeight="false" outlineLevel="0" collapsed="false">
      <c r="B319" s="8" t="s">
        <v>354</v>
      </c>
      <c r="C319" s="7" t="n">
        <v>45</v>
      </c>
      <c r="AB319" s="7" t="n">
        <v>30</v>
      </c>
      <c r="AD319" s="7" t="n">
        <v>0</v>
      </c>
    </row>
    <row r="320" customFormat="false" ht="15" hidden="false" customHeight="false" outlineLevel="0" collapsed="false">
      <c r="B320" s="8" t="s">
        <v>355</v>
      </c>
      <c r="C320" s="7" t="n">
        <v>30</v>
      </c>
      <c r="AB320" s="7" t="n">
        <v>0</v>
      </c>
      <c r="AD320" s="7" t="n">
        <v>30</v>
      </c>
    </row>
    <row r="321" customFormat="false" ht="15" hidden="false" customHeight="false" outlineLevel="0" collapsed="false">
      <c r="B321" s="8" t="s">
        <v>356</v>
      </c>
      <c r="C321" s="7" t="n">
        <v>30</v>
      </c>
      <c r="AB321" s="7" t="n">
        <v>30</v>
      </c>
      <c r="AD321" s="7" t="n">
        <v>30</v>
      </c>
    </row>
    <row r="322" customFormat="false" ht="15" hidden="false" customHeight="false" outlineLevel="0" collapsed="false">
      <c r="B322" s="8" t="s">
        <v>357</v>
      </c>
      <c r="C322" s="7" t="n">
        <v>25</v>
      </c>
      <c r="AB322" s="7" t="n">
        <v>30</v>
      </c>
      <c r="AD322" s="7" t="n">
        <v>15</v>
      </c>
    </row>
    <row r="323" customFormat="false" ht="15" hidden="false" customHeight="false" outlineLevel="0" collapsed="false">
      <c r="B323" s="8" t="s">
        <v>358</v>
      </c>
      <c r="C323" s="7" t="n">
        <v>0</v>
      </c>
      <c r="AB323" s="7" t="n">
        <v>15</v>
      </c>
      <c r="AD323" s="7" t="n">
        <v>70</v>
      </c>
    </row>
    <row r="324" customFormat="false" ht="15" hidden="false" customHeight="false" outlineLevel="0" collapsed="false">
      <c r="B324" s="8" t="s">
        <v>359</v>
      </c>
      <c r="C324" s="7" t="n">
        <v>25</v>
      </c>
      <c r="AB324" s="7" t="n">
        <v>70</v>
      </c>
      <c r="AD324" s="7" t="n">
        <v>60</v>
      </c>
    </row>
    <row r="325" customFormat="false" ht="15" hidden="false" customHeight="false" outlineLevel="0" collapsed="false">
      <c r="B325" s="8" t="s">
        <v>360</v>
      </c>
      <c r="C325" s="7" t="n">
        <v>25</v>
      </c>
      <c r="AB325" s="7" t="n">
        <v>60</v>
      </c>
      <c r="AD325" s="7" t="n">
        <v>40</v>
      </c>
    </row>
    <row r="326" customFormat="false" ht="15" hidden="false" customHeight="false" outlineLevel="0" collapsed="false">
      <c r="B326" s="8" t="s">
        <v>361</v>
      </c>
      <c r="C326" s="7" t="n">
        <v>30</v>
      </c>
      <c r="AB326" s="7" t="n">
        <v>40</v>
      </c>
      <c r="AD326" s="7" t="n">
        <v>35</v>
      </c>
    </row>
    <row r="327" customFormat="false" ht="15" hidden="false" customHeight="false" outlineLevel="0" collapsed="false">
      <c r="B327" s="8" t="s">
        <v>362</v>
      </c>
      <c r="C327" s="7" t="n">
        <v>0</v>
      </c>
      <c r="AB327" s="7" t="n">
        <v>35</v>
      </c>
      <c r="AD327" s="7" t="n">
        <v>35</v>
      </c>
    </row>
    <row r="328" customFormat="false" ht="15" hidden="false" customHeight="false" outlineLevel="0" collapsed="false">
      <c r="B328" s="8" t="s">
        <v>363</v>
      </c>
      <c r="C328" s="7" t="n">
        <v>30</v>
      </c>
      <c r="AB328" s="7" t="n">
        <v>35</v>
      </c>
      <c r="AD328" s="7" t="n">
        <v>20</v>
      </c>
    </row>
    <row r="329" customFormat="false" ht="15" hidden="false" customHeight="false" outlineLevel="0" collapsed="false">
      <c r="B329" s="8" t="s">
        <v>364</v>
      </c>
      <c r="C329" s="7" t="n">
        <v>30</v>
      </c>
      <c r="AB329" s="7" t="n">
        <v>20</v>
      </c>
      <c r="AD329" s="7" t="n">
        <v>20</v>
      </c>
    </row>
    <row r="330" customFormat="false" ht="15" hidden="false" customHeight="false" outlineLevel="0" collapsed="false">
      <c r="B330" s="8" t="s">
        <v>365</v>
      </c>
      <c r="C330" s="7" t="n">
        <v>15</v>
      </c>
      <c r="AB330" s="7" t="n">
        <v>20</v>
      </c>
      <c r="AD330" s="7" t="n">
        <v>15</v>
      </c>
    </row>
    <row r="331" customFormat="false" ht="15" hidden="false" customHeight="false" outlineLevel="0" collapsed="false">
      <c r="B331" s="8" t="s">
        <v>366</v>
      </c>
      <c r="C331" s="7" t="n">
        <v>70</v>
      </c>
      <c r="AB331" s="7" t="n">
        <v>15</v>
      </c>
      <c r="AD331" s="7" t="n">
        <v>15</v>
      </c>
    </row>
    <row r="332" customFormat="false" ht="15" hidden="false" customHeight="false" outlineLevel="0" collapsed="false">
      <c r="B332" s="8" t="s">
        <v>367</v>
      </c>
      <c r="C332" s="7" t="n">
        <v>60</v>
      </c>
      <c r="AB332" s="7" t="n">
        <v>15</v>
      </c>
      <c r="AD332" s="7" t="n">
        <v>40</v>
      </c>
    </row>
    <row r="333" customFormat="false" ht="15" hidden="false" customHeight="false" outlineLevel="0" collapsed="false">
      <c r="B333" s="8" t="s">
        <v>368</v>
      </c>
      <c r="C333" s="7" t="n">
        <v>40</v>
      </c>
      <c r="AB333" s="7" t="n">
        <v>40</v>
      </c>
      <c r="AD333" s="7" t="n">
        <v>15</v>
      </c>
    </row>
    <row r="334" customFormat="false" ht="15" hidden="false" customHeight="false" outlineLevel="0" collapsed="false">
      <c r="B334" s="8" t="s">
        <v>369</v>
      </c>
      <c r="C334" s="7" t="n">
        <v>35</v>
      </c>
      <c r="AB334" s="7" t="n">
        <v>15</v>
      </c>
      <c r="AD334" s="7" t="n">
        <v>0</v>
      </c>
    </row>
    <row r="335" customFormat="false" ht="15" hidden="false" customHeight="false" outlineLevel="0" collapsed="false">
      <c r="B335" s="8" t="s">
        <v>370</v>
      </c>
      <c r="C335" s="7" t="n">
        <v>35</v>
      </c>
      <c r="AB335" s="7" t="n">
        <v>0</v>
      </c>
      <c r="AD335" s="7" t="n">
        <v>40</v>
      </c>
    </row>
    <row r="336" customFormat="false" ht="15" hidden="false" customHeight="false" outlineLevel="0" collapsed="false">
      <c r="B336" s="8" t="s">
        <v>371</v>
      </c>
      <c r="C336" s="7" t="n">
        <v>20</v>
      </c>
      <c r="AB336" s="7" t="n">
        <v>40</v>
      </c>
      <c r="AD336" s="7" t="n">
        <v>35</v>
      </c>
    </row>
    <row r="337" customFormat="false" ht="15" hidden="false" customHeight="false" outlineLevel="0" collapsed="false">
      <c r="B337" s="8" t="s">
        <v>372</v>
      </c>
      <c r="C337" s="7" t="n">
        <v>20</v>
      </c>
      <c r="AB337" s="7" t="n">
        <v>35</v>
      </c>
      <c r="AD337" s="7" t="n">
        <v>50</v>
      </c>
    </row>
    <row r="338" customFormat="false" ht="15" hidden="false" customHeight="false" outlineLevel="0" collapsed="false">
      <c r="B338" s="8" t="s">
        <v>373</v>
      </c>
      <c r="C338" s="7" t="n">
        <v>15</v>
      </c>
      <c r="AB338" s="7" t="n">
        <v>50</v>
      </c>
      <c r="AD338" s="7" t="n">
        <v>50</v>
      </c>
    </row>
    <row r="339" customFormat="false" ht="15" hidden="false" customHeight="false" outlineLevel="0" collapsed="false">
      <c r="B339" s="8" t="s">
        <v>374</v>
      </c>
      <c r="C339" s="7" t="n">
        <v>15</v>
      </c>
      <c r="AB339" s="7" t="n">
        <v>50</v>
      </c>
      <c r="AD339" s="7" t="n">
        <v>50</v>
      </c>
    </row>
    <row r="340" customFormat="false" ht="15" hidden="false" customHeight="false" outlineLevel="0" collapsed="false">
      <c r="B340" s="8" t="s">
        <v>375</v>
      </c>
      <c r="C340" s="7" t="n">
        <v>40</v>
      </c>
      <c r="AB340" s="7" t="n">
        <v>50</v>
      </c>
      <c r="AD340" s="7" t="n">
        <v>40</v>
      </c>
    </row>
    <row r="341" customFormat="false" ht="15" hidden="false" customHeight="false" outlineLevel="0" collapsed="false">
      <c r="B341" s="8" t="s">
        <v>376</v>
      </c>
      <c r="C341" s="7" t="n">
        <v>15</v>
      </c>
      <c r="AB341" s="7" t="n">
        <v>40</v>
      </c>
      <c r="AD341" s="7" t="n">
        <v>40</v>
      </c>
    </row>
    <row r="342" customFormat="false" ht="15" hidden="false" customHeight="false" outlineLevel="0" collapsed="false">
      <c r="B342" s="8" t="s">
        <v>377</v>
      </c>
      <c r="C342" s="7" t="n">
        <v>0</v>
      </c>
      <c r="AB342" s="7" t="n">
        <v>40</v>
      </c>
      <c r="AD342" s="7" t="n">
        <v>50</v>
      </c>
    </row>
    <row r="343" customFormat="false" ht="15" hidden="false" customHeight="false" outlineLevel="0" collapsed="false">
      <c r="B343" s="8" t="s">
        <v>378</v>
      </c>
      <c r="C343" s="7" t="n">
        <v>40</v>
      </c>
      <c r="AB343" s="7" t="n">
        <v>50</v>
      </c>
      <c r="AD343" s="7" t="n">
        <v>40</v>
      </c>
    </row>
    <row r="344" customFormat="false" ht="15" hidden="false" customHeight="false" outlineLevel="0" collapsed="false">
      <c r="B344" s="8" t="s">
        <v>379</v>
      </c>
      <c r="C344" s="7" t="n">
        <v>35</v>
      </c>
      <c r="AB344" s="7" t="n">
        <v>40</v>
      </c>
      <c r="AD344" s="7" t="n">
        <v>30</v>
      </c>
    </row>
    <row r="345" customFormat="false" ht="15" hidden="false" customHeight="false" outlineLevel="0" collapsed="false">
      <c r="B345" s="8" t="s">
        <v>380</v>
      </c>
      <c r="C345" s="7" t="n">
        <v>50</v>
      </c>
      <c r="AB345" s="7" t="n">
        <v>30</v>
      </c>
      <c r="AD345" s="7" t="n">
        <v>60</v>
      </c>
    </row>
    <row r="346" customFormat="false" ht="15" hidden="false" customHeight="false" outlineLevel="0" collapsed="false">
      <c r="B346" s="8" t="s">
        <v>381</v>
      </c>
      <c r="C346" s="7" t="n">
        <v>50</v>
      </c>
      <c r="AB346" s="7" t="n">
        <v>60</v>
      </c>
      <c r="AD346" s="7" t="n">
        <v>40</v>
      </c>
    </row>
    <row r="347" customFormat="false" ht="15" hidden="false" customHeight="false" outlineLevel="0" collapsed="false">
      <c r="B347" s="8" t="s">
        <v>382</v>
      </c>
      <c r="C347" s="7" t="n">
        <v>50</v>
      </c>
      <c r="AB347" s="7" t="n">
        <v>40</v>
      </c>
      <c r="AD347" s="7" t="n">
        <v>40</v>
      </c>
    </row>
    <row r="348" customFormat="false" ht="15" hidden="false" customHeight="false" outlineLevel="0" collapsed="false">
      <c r="B348" s="8" t="s">
        <v>383</v>
      </c>
      <c r="C348" s="7" t="n">
        <v>40</v>
      </c>
      <c r="AB348" s="7" t="n">
        <v>40</v>
      </c>
      <c r="AD348" s="7" t="n">
        <v>30</v>
      </c>
    </row>
    <row r="349" customFormat="false" ht="15" hidden="false" customHeight="false" outlineLevel="0" collapsed="false">
      <c r="B349" s="8" t="s">
        <v>384</v>
      </c>
      <c r="C349" s="7" t="n">
        <v>40</v>
      </c>
      <c r="AB349" s="7" t="n">
        <v>30</v>
      </c>
      <c r="AD349" s="7" t="n">
        <v>40</v>
      </c>
    </row>
    <row r="350" customFormat="false" ht="15" hidden="false" customHeight="false" outlineLevel="0" collapsed="false">
      <c r="B350" s="8" t="s">
        <v>385</v>
      </c>
      <c r="C350" s="7" t="n">
        <v>50</v>
      </c>
      <c r="AB350" s="7" t="n">
        <v>40</v>
      </c>
      <c r="AD350" s="7" t="n">
        <v>120</v>
      </c>
    </row>
    <row r="351" customFormat="false" ht="15" hidden="false" customHeight="false" outlineLevel="0" collapsed="false">
      <c r="B351" s="8" t="s">
        <v>386</v>
      </c>
      <c r="C351" s="7" t="n">
        <v>40</v>
      </c>
      <c r="AB351" s="7" t="n">
        <v>120</v>
      </c>
      <c r="AD351" s="7" t="n">
        <v>20</v>
      </c>
    </row>
    <row r="352" customFormat="false" ht="15" hidden="false" customHeight="false" outlineLevel="0" collapsed="false">
      <c r="B352" s="8" t="s">
        <v>387</v>
      </c>
      <c r="C352" s="7" t="n">
        <v>30</v>
      </c>
      <c r="AB352" s="7" t="n">
        <v>20</v>
      </c>
      <c r="AD352" s="7" t="n">
        <v>30</v>
      </c>
    </row>
    <row r="353" customFormat="false" ht="15" hidden="false" customHeight="false" outlineLevel="0" collapsed="false">
      <c r="B353" s="8" t="s">
        <v>388</v>
      </c>
      <c r="C353" s="7" t="n">
        <v>60</v>
      </c>
      <c r="AB353" s="7" t="n">
        <v>30</v>
      </c>
      <c r="AD353" s="7" t="n">
        <v>35</v>
      </c>
    </row>
    <row r="354" customFormat="false" ht="15" hidden="false" customHeight="false" outlineLevel="0" collapsed="false">
      <c r="B354" s="8" t="s">
        <v>389</v>
      </c>
      <c r="C354" s="7" t="n">
        <v>40</v>
      </c>
      <c r="AB354" s="7" t="n">
        <v>35</v>
      </c>
      <c r="AD354" s="7" t="n">
        <v>40</v>
      </c>
    </row>
    <row r="355" customFormat="false" ht="15" hidden="false" customHeight="false" outlineLevel="0" collapsed="false">
      <c r="B355" s="8" t="s">
        <v>390</v>
      </c>
      <c r="C355" s="7" t="n">
        <v>40</v>
      </c>
      <c r="AB355" s="7" t="n">
        <v>40</v>
      </c>
      <c r="AD355" s="7" t="n">
        <v>40</v>
      </c>
    </row>
    <row r="356" customFormat="false" ht="15" hidden="false" customHeight="false" outlineLevel="0" collapsed="false">
      <c r="B356" s="8" t="s">
        <v>391</v>
      </c>
      <c r="C356" s="7" t="n">
        <v>30</v>
      </c>
      <c r="AB356" s="7" t="n">
        <v>40</v>
      </c>
      <c r="AD356" s="7" t="n">
        <v>50</v>
      </c>
    </row>
    <row r="357" customFormat="false" ht="15" hidden="false" customHeight="false" outlineLevel="0" collapsed="false">
      <c r="B357" s="8" t="s">
        <v>392</v>
      </c>
      <c r="C357" s="7" t="n">
        <v>40</v>
      </c>
      <c r="AB357" s="7" t="n">
        <v>50</v>
      </c>
      <c r="AD357" s="7" t="n">
        <v>50</v>
      </c>
    </row>
    <row r="358" customFormat="false" ht="15" hidden="false" customHeight="false" outlineLevel="0" collapsed="false">
      <c r="B358" s="8" t="s">
        <v>393</v>
      </c>
      <c r="C358" s="7" t="n">
        <v>120</v>
      </c>
      <c r="AB358" s="7" t="n">
        <v>50</v>
      </c>
      <c r="AD358" s="7" t="n">
        <v>60</v>
      </c>
    </row>
    <row r="359" customFormat="false" ht="15" hidden="false" customHeight="false" outlineLevel="0" collapsed="false">
      <c r="B359" s="8" t="s">
        <v>394</v>
      </c>
      <c r="C359" s="7" t="n">
        <v>20</v>
      </c>
      <c r="AB359" s="7" t="n">
        <v>60</v>
      </c>
      <c r="AD359" s="7" t="n">
        <v>60</v>
      </c>
    </row>
    <row r="360" customFormat="false" ht="15" hidden="false" customHeight="false" outlineLevel="0" collapsed="false">
      <c r="B360" s="8" t="s">
        <v>395</v>
      </c>
      <c r="C360" s="7" t="n">
        <v>30</v>
      </c>
      <c r="AB360" s="7" t="n">
        <v>60</v>
      </c>
      <c r="AD360" s="7" t="n">
        <v>40</v>
      </c>
    </row>
    <row r="361" customFormat="false" ht="15" hidden="false" customHeight="false" outlineLevel="0" collapsed="false">
      <c r="B361" s="8" t="s">
        <v>396</v>
      </c>
      <c r="C361" s="7" t="n">
        <v>35</v>
      </c>
      <c r="AB361" s="7" t="n">
        <v>40</v>
      </c>
      <c r="AD361" s="7" t="n">
        <v>40</v>
      </c>
    </row>
    <row r="362" customFormat="false" ht="15" hidden="false" customHeight="false" outlineLevel="0" collapsed="false">
      <c r="B362" s="8" t="s">
        <v>397</v>
      </c>
      <c r="C362" s="7" t="n">
        <v>40</v>
      </c>
      <c r="AB362" s="7" t="n">
        <v>40</v>
      </c>
      <c r="AD362" s="7" t="n">
        <v>0</v>
      </c>
    </row>
    <row r="363" customFormat="false" ht="15" hidden="false" customHeight="false" outlineLevel="0" collapsed="false">
      <c r="B363" s="8" t="s">
        <v>398</v>
      </c>
      <c r="C363" s="7" t="n">
        <v>40</v>
      </c>
      <c r="AB363" s="7" t="n">
        <v>0</v>
      </c>
      <c r="AD363" s="7" t="n">
        <v>20</v>
      </c>
    </row>
    <row r="364" customFormat="false" ht="15" hidden="false" customHeight="false" outlineLevel="0" collapsed="false">
      <c r="B364" s="8" t="s">
        <v>399</v>
      </c>
      <c r="C364" s="7" t="n">
        <v>50</v>
      </c>
      <c r="AB364" s="7" t="n">
        <v>20</v>
      </c>
      <c r="AD364" s="7" t="n">
        <v>40</v>
      </c>
    </row>
    <row r="365" customFormat="false" ht="15" hidden="false" customHeight="false" outlineLevel="0" collapsed="false">
      <c r="B365" s="8" t="s">
        <v>400</v>
      </c>
      <c r="C365" s="7" t="n">
        <v>50</v>
      </c>
      <c r="AB365" s="7" t="n">
        <v>40</v>
      </c>
      <c r="AD365" s="7" t="n">
        <v>40</v>
      </c>
    </row>
    <row r="366" customFormat="false" ht="15" hidden="false" customHeight="false" outlineLevel="0" collapsed="false">
      <c r="B366" s="8" t="s">
        <v>401</v>
      </c>
      <c r="C366" s="7" t="n">
        <v>60</v>
      </c>
      <c r="AB366" s="7" t="n">
        <v>40</v>
      </c>
      <c r="AD366" s="7" t="n">
        <v>0</v>
      </c>
    </row>
    <row r="367" customFormat="false" ht="15" hidden="false" customHeight="false" outlineLevel="0" collapsed="false">
      <c r="B367" s="8" t="s">
        <v>402</v>
      </c>
      <c r="C367" s="7" t="n">
        <v>60</v>
      </c>
      <c r="AB367" s="7" t="n">
        <v>0</v>
      </c>
      <c r="AD367" s="7" t="n">
        <v>20</v>
      </c>
    </row>
    <row r="368" customFormat="false" ht="15" hidden="false" customHeight="false" outlineLevel="0" collapsed="false">
      <c r="B368" s="8" t="s">
        <v>403</v>
      </c>
      <c r="C368" s="7" t="n">
        <v>40</v>
      </c>
      <c r="AB368" s="7" t="n">
        <v>20</v>
      </c>
      <c r="AD368" s="7" t="n">
        <v>35</v>
      </c>
    </row>
    <row r="369" customFormat="false" ht="15" hidden="false" customHeight="false" outlineLevel="0" collapsed="false">
      <c r="B369" s="8" t="s">
        <v>404</v>
      </c>
      <c r="C369" s="7" t="n">
        <v>40</v>
      </c>
      <c r="AB369" s="7" t="n">
        <v>35</v>
      </c>
      <c r="AD369" s="7" t="n">
        <v>35</v>
      </c>
    </row>
    <row r="370" customFormat="false" ht="15" hidden="false" customHeight="false" outlineLevel="0" collapsed="false">
      <c r="B370" s="8" t="s">
        <v>405</v>
      </c>
      <c r="C370" s="7" t="n">
        <v>0</v>
      </c>
      <c r="AB370" s="7" t="n">
        <v>35</v>
      </c>
      <c r="AD370" s="7" t="n">
        <v>40</v>
      </c>
    </row>
    <row r="371" customFormat="false" ht="15" hidden="false" customHeight="false" outlineLevel="0" collapsed="false">
      <c r="B371" s="8" t="s">
        <v>406</v>
      </c>
      <c r="C371" s="7" t="n">
        <v>20</v>
      </c>
      <c r="AB371" s="7" t="n">
        <v>40</v>
      </c>
      <c r="AD371" s="7" t="n">
        <v>0</v>
      </c>
    </row>
    <row r="372" customFormat="false" ht="15" hidden="false" customHeight="false" outlineLevel="0" collapsed="false">
      <c r="B372" s="8" t="s">
        <v>407</v>
      </c>
      <c r="C372" s="7" t="n">
        <v>40</v>
      </c>
      <c r="AB372" s="7" t="n">
        <v>0</v>
      </c>
      <c r="AD372" s="7" t="n">
        <v>35</v>
      </c>
    </row>
    <row r="373" customFormat="false" ht="15" hidden="false" customHeight="false" outlineLevel="0" collapsed="false">
      <c r="B373" s="8" t="s">
        <v>408</v>
      </c>
      <c r="C373" s="7" t="n">
        <v>40</v>
      </c>
      <c r="AB373" s="7" t="n">
        <v>35</v>
      </c>
      <c r="AD373" s="7" t="n">
        <v>0</v>
      </c>
    </row>
    <row r="374" customFormat="false" ht="15" hidden="false" customHeight="false" outlineLevel="0" collapsed="false">
      <c r="B374" s="8" t="s">
        <v>409</v>
      </c>
      <c r="C374" s="7" t="n">
        <v>0</v>
      </c>
      <c r="AB374" s="7" t="n">
        <v>0</v>
      </c>
      <c r="AD374" s="7" t="n">
        <v>30</v>
      </c>
    </row>
    <row r="375" customFormat="false" ht="15" hidden="false" customHeight="false" outlineLevel="0" collapsed="false">
      <c r="B375" s="8" t="s">
        <v>410</v>
      </c>
      <c r="C375" s="7" t="n">
        <v>20</v>
      </c>
      <c r="AB375" s="7" t="n">
        <v>30</v>
      </c>
      <c r="AD375" s="7" t="n">
        <v>30</v>
      </c>
    </row>
    <row r="376" customFormat="false" ht="15" hidden="false" customHeight="false" outlineLevel="0" collapsed="false">
      <c r="B376" s="8" t="s">
        <v>411</v>
      </c>
      <c r="C376" s="7" t="n">
        <v>35</v>
      </c>
      <c r="AB376" s="7" t="n">
        <v>30</v>
      </c>
      <c r="AD376" s="7" t="n">
        <v>90</v>
      </c>
    </row>
    <row r="377" customFormat="false" ht="15" hidden="false" customHeight="false" outlineLevel="0" collapsed="false">
      <c r="B377" s="8" t="s">
        <v>412</v>
      </c>
      <c r="C377" s="7" t="n">
        <v>35</v>
      </c>
      <c r="AB377" s="7" t="n">
        <v>90</v>
      </c>
      <c r="AD377" s="7" t="n">
        <v>90</v>
      </c>
    </row>
    <row r="378" customFormat="false" ht="15" hidden="false" customHeight="false" outlineLevel="0" collapsed="false">
      <c r="B378" s="8" t="s">
        <v>413</v>
      </c>
      <c r="C378" s="7" t="n">
        <v>40</v>
      </c>
      <c r="AB378" s="7" t="n">
        <v>90</v>
      </c>
      <c r="AD378" s="7" t="n">
        <v>80</v>
      </c>
    </row>
    <row r="379" customFormat="false" ht="15" hidden="false" customHeight="false" outlineLevel="0" collapsed="false">
      <c r="B379" s="8" t="s">
        <v>414</v>
      </c>
      <c r="C379" s="7" t="n">
        <v>0</v>
      </c>
      <c r="AB379" s="7" t="n">
        <v>80</v>
      </c>
      <c r="AD379" s="7" t="n">
        <v>80</v>
      </c>
    </row>
    <row r="380" customFormat="false" ht="15" hidden="false" customHeight="false" outlineLevel="0" collapsed="false">
      <c r="B380" s="8" t="s">
        <v>415</v>
      </c>
      <c r="C380" s="7" t="n">
        <v>35</v>
      </c>
      <c r="AB380" s="7" t="n">
        <v>80</v>
      </c>
      <c r="AD380" s="7" t="n">
        <v>80</v>
      </c>
    </row>
    <row r="381" customFormat="false" ht="15" hidden="false" customHeight="false" outlineLevel="0" collapsed="false">
      <c r="B381" s="8" t="s">
        <v>416</v>
      </c>
      <c r="C381" s="7" t="n">
        <v>0</v>
      </c>
      <c r="AB381" s="7" t="n">
        <v>80</v>
      </c>
      <c r="AD381" s="7" t="n">
        <v>80</v>
      </c>
    </row>
    <row r="382" customFormat="false" ht="15" hidden="false" customHeight="false" outlineLevel="0" collapsed="false">
      <c r="B382" s="8" t="s">
        <v>417</v>
      </c>
      <c r="C382" s="7" t="n">
        <v>30</v>
      </c>
      <c r="AB382" s="7" t="n">
        <v>80</v>
      </c>
      <c r="AD382" s="7" t="n">
        <v>80</v>
      </c>
    </row>
    <row r="383" customFormat="false" ht="15" hidden="false" customHeight="false" outlineLevel="0" collapsed="false">
      <c r="B383" s="8" t="s">
        <v>418</v>
      </c>
      <c r="C383" s="7" t="n">
        <v>30</v>
      </c>
      <c r="AB383" s="7" t="n">
        <v>80</v>
      </c>
      <c r="AD383" s="7" t="n">
        <v>90</v>
      </c>
    </row>
    <row r="384" customFormat="false" ht="15" hidden="false" customHeight="false" outlineLevel="0" collapsed="false">
      <c r="B384" s="8" t="s">
        <v>419</v>
      </c>
      <c r="C384" s="7" t="n">
        <v>90</v>
      </c>
      <c r="AB384" s="7" t="n">
        <v>90</v>
      </c>
      <c r="AD384" s="7" t="n">
        <v>90</v>
      </c>
    </row>
    <row r="385" customFormat="false" ht="15" hidden="false" customHeight="false" outlineLevel="0" collapsed="false">
      <c r="B385" s="8" t="s">
        <v>420</v>
      </c>
      <c r="C385" s="7" t="n">
        <v>90</v>
      </c>
      <c r="AB385" s="7" t="n">
        <v>90</v>
      </c>
      <c r="AD385" s="7" t="n">
        <v>90</v>
      </c>
    </row>
    <row r="386" customFormat="false" ht="15" hidden="false" customHeight="false" outlineLevel="0" collapsed="false">
      <c r="B386" s="8" t="s">
        <v>421</v>
      </c>
      <c r="C386" s="7" t="n">
        <v>80</v>
      </c>
      <c r="AB386" s="7" t="n">
        <v>90</v>
      </c>
      <c r="AD386" s="7" t="n">
        <v>90</v>
      </c>
    </row>
    <row r="387" customFormat="false" ht="15" hidden="false" customHeight="false" outlineLevel="0" collapsed="false">
      <c r="B387" s="8" t="s">
        <v>422</v>
      </c>
      <c r="C387" s="7" t="n">
        <v>80</v>
      </c>
      <c r="AB387" s="7" t="n">
        <v>90</v>
      </c>
      <c r="AD387" s="7" t="n">
        <v>80</v>
      </c>
    </row>
    <row r="388" customFormat="false" ht="15" hidden="false" customHeight="false" outlineLevel="0" collapsed="false">
      <c r="B388" s="8" t="s">
        <v>423</v>
      </c>
      <c r="C388" s="7" t="n">
        <v>80</v>
      </c>
      <c r="AB388" s="7" t="n">
        <v>80</v>
      </c>
      <c r="AD388" s="7" t="n">
        <v>80</v>
      </c>
    </row>
    <row r="389" customFormat="false" ht="15" hidden="false" customHeight="false" outlineLevel="0" collapsed="false">
      <c r="B389" s="8" t="s">
        <v>424</v>
      </c>
      <c r="C389" s="7" t="n">
        <v>80</v>
      </c>
      <c r="AB389" s="7" t="n">
        <v>80</v>
      </c>
      <c r="AD389" s="7" t="n">
        <v>80</v>
      </c>
    </row>
    <row r="390" customFormat="false" ht="15" hidden="false" customHeight="false" outlineLevel="0" collapsed="false">
      <c r="B390" s="8" t="s">
        <v>425</v>
      </c>
      <c r="C390" s="7" t="n">
        <v>80</v>
      </c>
      <c r="AB390" s="7" t="n">
        <v>80</v>
      </c>
      <c r="AD390" s="7" t="n">
        <v>80</v>
      </c>
    </row>
    <row r="391" customFormat="false" ht="15" hidden="false" customHeight="false" outlineLevel="0" collapsed="false">
      <c r="B391" s="8" t="s">
        <v>426</v>
      </c>
      <c r="C391" s="7" t="n">
        <v>90</v>
      </c>
      <c r="AB391" s="7" t="n">
        <v>80</v>
      </c>
      <c r="AD391" s="7" t="n">
        <v>50</v>
      </c>
    </row>
    <row r="392" customFormat="false" ht="15" hidden="false" customHeight="false" outlineLevel="0" collapsed="false">
      <c r="B392" s="8" t="s">
        <v>427</v>
      </c>
      <c r="C392" s="7" t="n">
        <v>90</v>
      </c>
      <c r="AB392" s="7" t="n">
        <v>50</v>
      </c>
      <c r="AD392" s="7" t="n">
        <v>50</v>
      </c>
    </row>
    <row r="393" customFormat="false" ht="15" hidden="false" customHeight="false" outlineLevel="0" collapsed="false">
      <c r="B393" s="8" t="s">
        <v>428</v>
      </c>
      <c r="C393" s="7" t="n">
        <v>90</v>
      </c>
      <c r="AB393" s="7" t="n">
        <v>50</v>
      </c>
      <c r="AD393" s="7" t="n">
        <v>50</v>
      </c>
    </row>
    <row r="394" customFormat="false" ht="15" hidden="false" customHeight="false" outlineLevel="0" collapsed="false">
      <c r="B394" s="8" t="s">
        <v>429</v>
      </c>
      <c r="C394" s="7" t="n">
        <v>90</v>
      </c>
      <c r="AB394" s="7" t="n">
        <v>50</v>
      </c>
      <c r="AD394" s="7"/>
    </row>
    <row r="395" customFormat="false" ht="15" hidden="false" customHeight="false" outlineLevel="0" collapsed="false">
      <c r="B395" s="8" t="s">
        <v>430</v>
      </c>
      <c r="C395" s="7" t="n">
        <v>80</v>
      </c>
      <c r="AB395" s="7" t="n">
        <v>80</v>
      </c>
      <c r="AD395" s="7"/>
    </row>
    <row r="396" customFormat="false" ht="15" hidden="false" customHeight="false" outlineLevel="0" collapsed="false">
      <c r="B396" s="8" t="s">
        <v>431</v>
      </c>
      <c r="C396" s="7" t="n">
        <v>80</v>
      </c>
      <c r="AB396" s="7" t="n">
        <v>80</v>
      </c>
      <c r="AD396" s="7" t="n">
        <v>80</v>
      </c>
    </row>
    <row r="397" customFormat="false" ht="15" hidden="false" customHeight="false" outlineLevel="0" collapsed="false">
      <c r="B397" s="8" t="s">
        <v>432</v>
      </c>
      <c r="C397" s="7" t="n">
        <v>80</v>
      </c>
      <c r="AB397" s="7" t="n">
        <v>80</v>
      </c>
      <c r="AD397" s="7" t="n">
        <v>80</v>
      </c>
    </row>
    <row r="398" customFormat="false" ht="15" hidden="false" customHeight="false" outlineLevel="0" collapsed="false">
      <c r="B398" s="8" t="s">
        <v>433</v>
      </c>
      <c r="C398" s="7" t="n">
        <v>80</v>
      </c>
      <c r="AB398" s="7" t="n">
        <v>80</v>
      </c>
      <c r="AD398" s="7" t="n">
        <v>80</v>
      </c>
    </row>
    <row r="399" customFormat="false" ht="15" hidden="false" customHeight="false" outlineLevel="0" collapsed="false">
      <c r="B399" s="8" t="s">
        <v>434</v>
      </c>
      <c r="C399" s="7" t="n">
        <v>50</v>
      </c>
      <c r="AB399" s="7" t="n">
        <v>80</v>
      </c>
      <c r="AD399" s="7" t="n">
        <v>80</v>
      </c>
    </row>
    <row r="400" customFormat="false" ht="15" hidden="false" customHeight="false" outlineLevel="0" collapsed="false">
      <c r="B400" s="8" t="s">
        <v>435</v>
      </c>
      <c r="C400" s="7" t="n">
        <v>50</v>
      </c>
      <c r="AB400" s="7" t="n">
        <v>80</v>
      </c>
      <c r="AD400" s="7" t="n">
        <v>90</v>
      </c>
    </row>
    <row r="401" customFormat="false" ht="15" hidden="false" customHeight="false" outlineLevel="0" collapsed="false">
      <c r="B401" s="8" t="s">
        <v>436</v>
      </c>
      <c r="C401" s="7" t="n">
        <v>50</v>
      </c>
      <c r="AB401" s="7" t="n">
        <v>90</v>
      </c>
      <c r="AD401" s="7" t="n">
        <v>80</v>
      </c>
    </row>
    <row r="402" customFormat="false" ht="15" hidden="false" customHeight="false" outlineLevel="0" collapsed="false">
      <c r="B402" s="8" t="s">
        <v>437</v>
      </c>
      <c r="C402" s="7" t="n">
        <v>80</v>
      </c>
      <c r="AB402" s="7" t="n">
        <v>80</v>
      </c>
      <c r="AD402" s="7" t="n">
        <v>80</v>
      </c>
    </row>
    <row r="403" customFormat="false" ht="15" hidden="false" customHeight="false" outlineLevel="0" collapsed="false">
      <c r="B403" s="8" t="s">
        <v>438</v>
      </c>
      <c r="C403" s="7" t="n">
        <v>80</v>
      </c>
      <c r="AB403" s="7" t="n">
        <v>80</v>
      </c>
      <c r="AD403" s="7" t="n">
        <v>80</v>
      </c>
    </row>
    <row r="404" customFormat="false" ht="15" hidden="false" customHeight="false" outlineLevel="0" collapsed="false">
      <c r="B404" s="8" t="s">
        <v>439</v>
      </c>
      <c r="C404" s="7" t="n">
        <v>80</v>
      </c>
      <c r="AB404" s="7" t="n">
        <v>80</v>
      </c>
      <c r="AD404" s="7" t="n">
        <v>80</v>
      </c>
    </row>
    <row r="405" customFormat="false" ht="15" hidden="false" customHeight="false" outlineLevel="0" collapsed="false">
      <c r="B405" s="8" t="s">
        <v>440</v>
      </c>
      <c r="C405" s="7" t="n">
        <v>80</v>
      </c>
      <c r="AB405" s="7" t="n">
        <v>80</v>
      </c>
      <c r="AD405" s="7" t="n">
        <v>50</v>
      </c>
    </row>
    <row r="406" customFormat="false" ht="15" hidden="false" customHeight="false" outlineLevel="0" collapsed="false">
      <c r="B406" s="8" t="s">
        <v>441</v>
      </c>
      <c r="C406" s="7" t="n">
        <v>80</v>
      </c>
      <c r="AB406" s="7" t="n">
        <v>50</v>
      </c>
      <c r="AD406" s="7" t="n">
        <v>50</v>
      </c>
    </row>
    <row r="407" customFormat="false" ht="15" hidden="false" customHeight="false" outlineLevel="0" collapsed="false">
      <c r="B407" s="8" t="s">
        <v>442</v>
      </c>
      <c r="C407" s="7" t="n">
        <v>80</v>
      </c>
      <c r="AB407" s="7" t="n">
        <v>50</v>
      </c>
      <c r="AD407" s="7" t="n">
        <v>65</v>
      </c>
    </row>
    <row r="408" customFormat="false" ht="15" hidden="false" customHeight="false" outlineLevel="0" collapsed="false">
      <c r="B408" s="8" t="s">
        <v>443</v>
      </c>
      <c r="C408" s="7" t="n">
        <v>90</v>
      </c>
      <c r="AB408" s="7" t="n">
        <v>65</v>
      </c>
      <c r="AD408" s="7"/>
    </row>
    <row r="409" customFormat="false" ht="15" hidden="false" customHeight="false" outlineLevel="0" collapsed="false">
      <c r="B409" s="8" t="s">
        <v>444</v>
      </c>
      <c r="C409" s="7" t="n">
        <v>80</v>
      </c>
      <c r="AB409" s="7" t="n">
        <v>80</v>
      </c>
      <c r="AD409" s="7"/>
    </row>
    <row r="410" customFormat="false" ht="15.75" hidden="false" customHeight="true" outlineLevel="0" collapsed="false">
      <c r="B410" s="8" t="s">
        <v>445</v>
      </c>
      <c r="C410" s="7" t="n">
        <v>80</v>
      </c>
      <c r="AB410" s="7" t="n">
        <v>65</v>
      </c>
      <c r="AD410" s="7" t="n">
        <v>65</v>
      </c>
    </row>
    <row r="411" customFormat="false" ht="15" hidden="false" customHeight="false" outlineLevel="0" collapsed="false">
      <c r="B411" s="8" t="s">
        <v>446</v>
      </c>
      <c r="C411" s="7" t="n">
        <v>80</v>
      </c>
      <c r="AB411" s="7" t="n">
        <v>60</v>
      </c>
      <c r="AD411" s="7" t="n">
        <v>60</v>
      </c>
    </row>
    <row r="412" customFormat="false" ht="15" hidden="false" customHeight="false" outlineLevel="0" collapsed="false">
      <c r="B412" s="8" t="s">
        <v>447</v>
      </c>
      <c r="C412" s="7" t="n">
        <v>80</v>
      </c>
      <c r="AB412" s="7" t="n">
        <v>70</v>
      </c>
      <c r="AD412" s="7" t="n">
        <v>60</v>
      </c>
    </row>
    <row r="413" customFormat="false" ht="15" hidden="false" customHeight="false" outlineLevel="0" collapsed="false">
      <c r="B413" s="10" t="s">
        <v>448</v>
      </c>
      <c r="C413" s="7" t="n">
        <v>120</v>
      </c>
      <c r="AB413" s="7" t="n">
        <v>60</v>
      </c>
      <c r="AD413" s="7" t="n">
        <v>60</v>
      </c>
    </row>
    <row r="414" customFormat="false" ht="15" hidden="false" customHeight="false" outlineLevel="0" collapsed="false">
      <c r="B414" s="10" t="s">
        <v>449</v>
      </c>
      <c r="C414" s="7" t="n">
        <v>40</v>
      </c>
      <c r="AB414" s="7" t="n">
        <v>60</v>
      </c>
      <c r="AD414" s="7" t="n">
        <v>60</v>
      </c>
    </row>
    <row r="415" customFormat="false" ht="15" hidden="false" customHeight="false" outlineLevel="0" collapsed="false">
      <c r="B415" s="8" t="s">
        <v>450</v>
      </c>
      <c r="C415" s="7" t="n">
        <v>50</v>
      </c>
      <c r="AB415" s="7" t="n">
        <v>60</v>
      </c>
      <c r="AD415" s="7" t="n">
        <v>60</v>
      </c>
    </row>
    <row r="416" customFormat="false" ht="15" hidden="false" customHeight="false" outlineLevel="0" collapsed="false">
      <c r="B416" s="8" t="s">
        <v>451</v>
      </c>
      <c r="C416" s="7" t="n">
        <v>50</v>
      </c>
      <c r="AB416" s="7" t="n">
        <v>60</v>
      </c>
      <c r="AD416" s="7" t="n">
        <v>60</v>
      </c>
    </row>
    <row r="417" customFormat="false" ht="15" hidden="false" customHeight="false" outlineLevel="0" collapsed="false">
      <c r="B417" s="8" t="s">
        <v>452</v>
      </c>
      <c r="C417" s="7" t="n">
        <v>65</v>
      </c>
      <c r="AB417" s="7" t="n">
        <v>60</v>
      </c>
      <c r="AD417" s="7" t="n">
        <v>70</v>
      </c>
    </row>
    <row r="418" customFormat="false" ht="15" hidden="false" customHeight="false" outlineLevel="0" collapsed="false">
      <c r="B418" s="8" t="s">
        <v>453</v>
      </c>
      <c r="C418" s="7" t="n">
        <v>80</v>
      </c>
      <c r="AB418" s="7" t="n">
        <v>70</v>
      </c>
      <c r="AD418" s="7" t="n">
        <v>70</v>
      </c>
    </row>
    <row r="419" customFormat="false" ht="15" hidden="false" customHeight="false" outlineLevel="0" collapsed="false">
      <c r="B419" s="8" t="s">
        <v>454</v>
      </c>
      <c r="C419" s="7" t="n">
        <v>65</v>
      </c>
      <c r="AB419" s="7" t="n">
        <v>70</v>
      </c>
      <c r="AD419" s="7" t="n">
        <v>70</v>
      </c>
    </row>
    <row r="420" customFormat="false" ht="15" hidden="false" customHeight="false" outlineLevel="0" collapsed="false">
      <c r="B420" s="10" t="s">
        <v>455</v>
      </c>
      <c r="C420" s="7" t="n">
        <v>65</v>
      </c>
      <c r="AB420" s="7" t="n">
        <v>70</v>
      </c>
      <c r="AD420" s="7" t="n">
        <v>70</v>
      </c>
    </row>
    <row r="421" customFormat="false" ht="15" hidden="false" customHeight="false" outlineLevel="0" collapsed="false">
      <c r="B421" s="10" t="s">
        <v>456</v>
      </c>
      <c r="C421" s="7" t="n">
        <v>65</v>
      </c>
      <c r="AB421" s="7" t="n">
        <v>70</v>
      </c>
      <c r="AD421" s="7" t="n">
        <v>60</v>
      </c>
    </row>
    <row r="422" customFormat="false" ht="15" hidden="false" customHeight="false" outlineLevel="0" collapsed="false">
      <c r="B422" s="8" t="s">
        <v>457</v>
      </c>
      <c r="C422" s="7" t="n">
        <v>60</v>
      </c>
      <c r="AB422" s="7" t="n">
        <v>60</v>
      </c>
      <c r="AD422" s="7" t="n">
        <v>60</v>
      </c>
    </row>
    <row r="423" customFormat="false" ht="15" hidden="false" customHeight="false" outlineLevel="0" collapsed="false">
      <c r="B423" s="8" t="s">
        <v>458</v>
      </c>
      <c r="C423" s="7" t="n">
        <v>70</v>
      </c>
      <c r="AB423" s="7" t="n">
        <v>60</v>
      </c>
      <c r="AD423" s="7" t="n">
        <v>60</v>
      </c>
    </row>
    <row r="424" customFormat="false" ht="15" hidden="false" customHeight="false" outlineLevel="0" collapsed="false">
      <c r="B424" s="8" t="s">
        <v>459</v>
      </c>
      <c r="C424" s="7" t="n">
        <v>60</v>
      </c>
      <c r="AB424" s="7" t="n">
        <v>60</v>
      </c>
      <c r="AD424" s="7" t="n">
        <v>60</v>
      </c>
    </row>
    <row r="425" customFormat="false" ht="15" hidden="false" customHeight="false" outlineLevel="0" collapsed="false">
      <c r="B425" s="8" t="s">
        <v>460</v>
      </c>
      <c r="C425" s="7" t="n">
        <v>60</v>
      </c>
      <c r="AB425" s="7" t="n">
        <v>60</v>
      </c>
      <c r="AD425" s="7"/>
    </row>
    <row r="426" customFormat="false" ht="15" hidden="false" customHeight="false" outlineLevel="0" collapsed="false">
      <c r="B426" s="8" t="s">
        <v>461</v>
      </c>
      <c r="C426" s="7" t="n">
        <v>60</v>
      </c>
      <c r="AB426" s="7" t="n">
        <v>80</v>
      </c>
      <c r="AD426" s="7"/>
    </row>
    <row r="427" customFormat="false" ht="15" hidden="false" customHeight="false" outlineLevel="0" collapsed="false">
      <c r="B427" s="8" t="s">
        <v>462</v>
      </c>
      <c r="C427" s="7" t="n">
        <v>60</v>
      </c>
      <c r="AB427" s="7" t="n">
        <v>80</v>
      </c>
      <c r="AD427" s="7"/>
    </row>
    <row r="428" customFormat="false" ht="15" hidden="false" customHeight="false" outlineLevel="0" collapsed="false">
      <c r="B428" s="8" t="s">
        <v>463</v>
      </c>
      <c r="C428" s="7" t="n">
        <v>60</v>
      </c>
      <c r="AB428" s="7" t="n">
        <v>0</v>
      </c>
      <c r="AD428" s="7"/>
    </row>
    <row r="429" customFormat="false" ht="15" hidden="false" customHeight="false" outlineLevel="0" collapsed="false">
      <c r="B429" s="8" t="s">
        <v>464</v>
      </c>
      <c r="C429" s="7" t="n">
        <v>70</v>
      </c>
      <c r="AB429" s="7" t="n">
        <v>20</v>
      </c>
      <c r="AD429" s="7" t="n">
        <v>10</v>
      </c>
    </row>
    <row r="430" customFormat="false" ht="15" hidden="false" customHeight="false" outlineLevel="0" collapsed="false">
      <c r="B430" s="8" t="s">
        <v>465</v>
      </c>
      <c r="C430" s="7" t="n">
        <v>70</v>
      </c>
      <c r="AB430" s="7" t="n">
        <v>10</v>
      </c>
      <c r="AD430" s="7" t="n">
        <v>10</v>
      </c>
    </row>
    <row r="431" customFormat="false" ht="15" hidden="false" customHeight="false" outlineLevel="0" collapsed="false">
      <c r="B431" s="8" t="s">
        <v>466</v>
      </c>
      <c r="C431" s="7" t="n">
        <v>70</v>
      </c>
      <c r="AB431" s="7" t="n">
        <v>10</v>
      </c>
      <c r="AD431" s="7" t="n">
        <v>70</v>
      </c>
    </row>
    <row r="432" customFormat="false" ht="15" hidden="false" customHeight="false" outlineLevel="0" collapsed="false">
      <c r="B432" s="8" t="s">
        <v>467</v>
      </c>
      <c r="C432" s="7" t="n">
        <v>70</v>
      </c>
      <c r="AB432" s="7" t="n">
        <v>70</v>
      </c>
      <c r="AD432" s="7" t="n">
        <v>40</v>
      </c>
    </row>
    <row r="433" customFormat="false" ht="15" hidden="false" customHeight="false" outlineLevel="0" collapsed="false">
      <c r="B433" s="8" t="s">
        <v>468</v>
      </c>
      <c r="C433" s="7" t="n">
        <v>60</v>
      </c>
      <c r="AB433" s="7" t="n">
        <v>40</v>
      </c>
      <c r="AD433" s="7" t="n">
        <v>40</v>
      </c>
    </row>
    <row r="434" customFormat="false" ht="15" hidden="false" customHeight="false" outlineLevel="0" collapsed="false">
      <c r="B434" s="8" t="s">
        <v>469</v>
      </c>
      <c r="C434" s="7" t="n">
        <v>60</v>
      </c>
      <c r="AB434" s="7" t="n">
        <v>40</v>
      </c>
      <c r="AD434" s="7" t="n">
        <v>60</v>
      </c>
    </row>
    <row r="435" customFormat="false" ht="15" hidden="false" customHeight="false" outlineLevel="0" collapsed="false">
      <c r="B435" s="8" t="s">
        <v>470</v>
      </c>
      <c r="C435" s="7" t="n">
        <v>60</v>
      </c>
      <c r="AB435" s="7" t="n">
        <v>60</v>
      </c>
      <c r="AD435" s="7" t="n">
        <v>60</v>
      </c>
    </row>
    <row r="436" customFormat="false" ht="15" hidden="false" customHeight="false" outlineLevel="0" collapsed="false">
      <c r="B436" s="8" t="s">
        <v>471</v>
      </c>
      <c r="C436" s="7" t="n">
        <v>60</v>
      </c>
      <c r="AB436" s="7" t="n">
        <v>60</v>
      </c>
      <c r="AD436" s="7" t="n">
        <v>60</v>
      </c>
    </row>
    <row r="437" customFormat="false" ht="15" hidden="false" customHeight="false" outlineLevel="0" collapsed="false">
      <c r="B437" s="8" t="s">
        <v>472</v>
      </c>
      <c r="C437" s="7" t="n">
        <v>80</v>
      </c>
      <c r="AB437" s="7" t="n">
        <v>60</v>
      </c>
      <c r="AD437" s="7" t="n">
        <v>60</v>
      </c>
    </row>
    <row r="438" customFormat="false" ht="15" hidden="false" customHeight="false" outlineLevel="0" collapsed="false">
      <c r="B438" s="8" t="s">
        <v>473</v>
      </c>
      <c r="C438" s="7" t="n">
        <v>80</v>
      </c>
      <c r="AB438" s="7" t="n">
        <v>60</v>
      </c>
      <c r="AD438" s="7" t="n">
        <v>60</v>
      </c>
    </row>
    <row r="439" customFormat="false" ht="15" hidden="false" customHeight="false" outlineLevel="0" collapsed="false">
      <c r="B439" s="8" t="s">
        <v>474</v>
      </c>
      <c r="C439" s="7" t="n">
        <v>0</v>
      </c>
      <c r="AB439" s="7" t="n">
        <v>60</v>
      </c>
      <c r="AD439" s="7" t="n">
        <v>70</v>
      </c>
    </row>
    <row r="440" customFormat="false" ht="15" hidden="false" customHeight="false" outlineLevel="0" collapsed="false">
      <c r="B440" s="8" t="s">
        <v>475</v>
      </c>
      <c r="C440" s="7" t="n">
        <v>20</v>
      </c>
      <c r="AB440" s="7" t="n">
        <v>70</v>
      </c>
      <c r="AD440" s="7" t="n">
        <v>60</v>
      </c>
    </row>
    <row r="441" customFormat="false" ht="15" hidden="false" customHeight="false" outlineLevel="0" collapsed="false">
      <c r="B441" s="8" t="s">
        <v>476</v>
      </c>
      <c r="C441" s="7" t="n">
        <v>10</v>
      </c>
      <c r="AB441" s="7" t="n">
        <v>60</v>
      </c>
      <c r="AD441" s="7" t="n">
        <v>60</v>
      </c>
    </row>
    <row r="442" customFormat="false" ht="15" hidden="false" customHeight="false" outlineLevel="0" collapsed="false">
      <c r="B442" s="8" t="s">
        <v>477</v>
      </c>
      <c r="C442" s="7" t="n">
        <v>10</v>
      </c>
      <c r="AB442" s="7" t="n">
        <v>60</v>
      </c>
      <c r="AD442" s="7" t="n">
        <v>60</v>
      </c>
    </row>
    <row r="443" customFormat="false" ht="15" hidden="false" customHeight="false" outlineLevel="0" collapsed="false">
      <c r="B443" s="8" t="s">
        <v>478</v>
      </c>
      <c r="C443" s="7" t="n">
        <v>70</v>
      </c>
      <c r="AB443" s="7" t="n">
        <v>60</v>
      </c>
      <c r="AD443" s="7" t="n">
        <v>60</v>
      </c>
    </row>
    <row r="444" customFormat="false" ht="15" hidden="false" customHeight="false" outlineLevel="0" collapsed="false">
      <c r="B444" s="8" t="s">
        <v>479</v>
      </c>
      <c r="C444" s="7" t="n">
        <v>40</v>
      </c>
      <c r="AB444" s="7" t="n">
        <v>60</v>
      </c>
      <c r="AD444" s="7" t="n">
        <v>20</v>
      </c>
    </row>
    <row r="445" customFormat="false" ht="15" hidden="false" customHeight="false" outlineLevel="0" collapsed="false">
      <c r="B445" s="8" t="s">
        <v>480</v>
      </c>
      <c r="C445" s="7" t="n">
        <v>40</v>
      </c>
      <c r="AB445" s="7" t="n">
        <v>20</v>
      </c>
      <c r="AD445" s="7" t="n">
        <v>120</v>
      </c>
    </row>
    <row r="446" customFormat="false" ht="15" hidden="false" customHeight="false" outlineLevel="0" collapsed="false">
      <c r="B446" s="8" t="s">
        <v>481</v>
      </c>
      <c r="C446" s="7" t="n">
        <v>60</v>
      </c>
      <c r="AB446" s="7" t="n">
        <v>120</v>
      </c>
      <c r="AD446" s="7" t="n">
        <v>10</v>
      </c>
    </row>
    <row r="447" customFormat="false" ht="15" hidden="false" customHeight="false" outlineLevel="0" collapsed="false">
      <c r="B447" s="8" t="s">
        <v>482</v>
      </c>
      <c r="C447" s="7" t="n">
        <v>60</v>
      </c>
      <c r="AB447" s="7" t="n">
        <v>10</v>
      </c>
      <c r="AD447" s="7" t="n">
        <v>20</v>
      </c>
    </row>
    <row r="448" customFormat="false" ht="15" hidden="false" customHeight="false" outlineLevel="0" collapsed="false">
      <c r="B448" s="8" t="s">
        <v>483</v>
      </c>
      <c r="C448" s="7" t="n">
        <v>60</v>
      </c>
      <c r="AB448" s="7" t="n">
        <v>20</v>
      </c>
      <c r="AD448" s="7" t="n">
        <v>0</v>
      </c>
    </row>
    <row r="449" customFormat="false" ht="15" hidden="false" customHeight="false" outlineLevel="0" collapsed="false">
      <c r="B449" s="8" t="s">
        <v>484</v>
      </c>
      <c r="C449" s="7" t="n">
        <v>60</v>
      </c>
      <c r="AB449" s="7" t="n">
        <v>0</v>
      </c>
      <c r="AD449" s="7"/>
    </row>
    <row r="450" customFormat="false" ht="15" hidden="false" customHeight="false" outlineLevel="0" collapsed="false">
      <c r="B450" s="8" t="s">
        <v>485</v>
      </c>
      <c r="C450" s="7" t="n">
        <v>60</v>
      </c>
      <c r="AB450" s="7" t="n">
        <v>0</v>
      </c>
      <c r="AD450" s="7"/>
    </row>
    <row r="451" customFormat="false" ht="15" hidden="false" customHeight="false" outlineLevel="0" collapsed="false">
      <c r="B451" s="8" t="s">
        <v>486</v>
      </c>
      <c r="C451" s="7" t="n">
        <v>70</v>
      </c>
      <c r="AB451" s="7" t="n">
        <v>80</v>
      </c>
      <c r="AD451" s="7" t="n">
        <v>50</v>
      </c>
    </row>
    <row r="452" customFormat="false" ht="15" hidden="false" customHeight="false" outlineLevel="0" collapsed="false">
      <c r="B452" s="8" t="s">
        <v>487</v>
      </c>
      <c r="C452" s="7" t="n">
        <v>60</v>
      </c>
      <c r="AB452" s="7" t="n">
        <v>50</v>
      </c>
      <c r="AD452" s="7" t="n">
        <v>50</v>
      </c>
    </row>
    <row r="453" customFormat="false" ht="15" hidden="false" customHeight="false" outlineLevel="0" collapsed="false">
      <c r="B453" s="8" t="s">
        <v>488</v>
      </c>
      <c r="C453" s="7" t="n">
        <v>60</v>
      </c>
      <c r="AB453" s="7" t="n">
        <v>50</v>
      </c>
      <c r="AD453" s="7" t="n">
        <v>60</v>
      </c>
    </row>
    <row r="454" customFormat="false" ht="15" hidden="false" customHeight="false" outlineLevel="0" collapsed="false">
      <c r="B454" s="8" t="s">
        <v>489</v>
      </c>
      <c r="C454" s="7" t="n">
        <v>60</v>
      </c>
      <c r="AB454" s="7" t="n">
        <v>60</v>
      </c>
      <c r="AD454" s="7" t="n">
        <v>60</v>
      </c>
    </row>
    <row r="455" customFormat="false" ht="15" hidden="false" customHeight="false" outlineLevel="0" collapsed="false">
      <c r="B455" s="8" t="s">
        <v>490</v>
      </c>
      <c r="C455" s="7" t="n">
        <v>60</v>
      </c>
      <c r="AB455" s="7" t="n">
        <v>60</v>
      </c>
      <c r="AD455" s="7" t="n">
        <v>30</v>
      </c>
    </row>
    <row r="456" customFormat="false" ht="15" hidden="false" customHeight="false" outlineLevel="0" collapsed="false">
      <c r="B456" s="8" t="s">
        <v>491</v>
      </c>
      <c r="C456" s="7" t="n">
        <v>120</v>
      </c>
      <c r="AB456" s="7" t="n">
        <v>30</v>
      </c>
      <c r="AD456" s="7" t="n">
        <v>60</v>
      </c>
    </row>
    <row r="457" customFormat="false" ht="15" hidden="false" customHeight="false" outlineLevel="0" collapsed="false">
      <c r="B457" s="8" t="s">
        <v>492</v>
      </c>
      <c r="C457" s="7" t="n">
        <v>20</v>
      </c>
      <c r="AB457" s="7" t="n">
        <v>60</v>
      </c>
      <c r="AD457" s="7" t="n">
        <v>70</v>
      </c>
    </row>
    <row r="458" customFormat="false" ht="15" hidden="false" customHeight="false" outlineLevel="0" collapsed="false">
      <c r="B458" s="8" t="s">
        <v>493</v>
      </c>
      <c r="C458" s="7" t="n">
        <v>120</v>
      </c>
      <c r="AB458" s="7" t="n">
        <v>70</v>
      </c>
      <c r="AD458" s="7" t="n">
        <v>60</v>
      </c>
    </row>
    <row r="459" customFormat="false" ht="15" hidden="false" customHeight="false" outlineLevel="0" collapsed="false">
      <c r="B459" s="8" t="s">
        <v>494</v>
      </c>
      <c r="C459" s="7" t="n">
        <v>10</v>
      </c>
      <c r="AB459" s="7" t="n">
        <v>60</v>
      </c>
      <c r="AD459" s="7" t="n">
        <v>60</v>
      </c>
    </row>
    <row r="460" customFormat="false" ht="15" hidden="false" customHeight="false" outlineLevel="0" collapsed="false">
      <c r="B460" s="8" t="s">
        <v>495</v>
      </c>
      <c r="C460" s="7" t="n">
        <v>20</v>
      </c>
      <c r="AB460" s="7" t="n">
        <v>60</v>
      </c>
      <c r="AD460" s="7" t="n">
        <v>60</v>
      </c>
    </row>
    <row r="461" customFormat="false" ht="15" hidden="false" customHeight="false" outlineLevel="0" collapsed="false">
      <c r="B461" s="8" t="s">
        <v>496</v>
      </c>
      <c r="C461" s="7" t="n">
        <v>0</v>
      </c>
      <c r="AB461" s="7" t="n">
        <v>60</v>
      </c>
      <c r="AD461" s="7" t="n">
        <v>60</v>
      </c>
    </row>
    <row r="462" customFormat="false" ht="15" hidden="false" customHeight="false" outlineLevel="0" collapsed="false">
      <c r="B462" s="8" t="s">
        <v>497</v>
      </c>
      <c r="C462" s="7" t="n">
        <v>0</v>
      </c>
      <c r="AB462" s="7" t="n">
        <v>60</v>
      </c>
      <c r="AD462" s="7" t="n">
        <v>60</v>
      </c>
    </row>
    <row r="463" customFormat="false" ht="15" hidden="false" customHeight="false" outlineLevel="0" collapsed="false">
      <c r="B463" s="8" t="s">
        <v>498</v>
      </c>
      <c r="C463" s="7" t="n">
        <v>80</v>
      </c>
      <c r="AB463" s="7" t="n">
        <v>60</v>
      </c>
      <c r="AD463" s="7" t="n">
        <v>70</v>
      </c>
    </row>
    <row r="464" customFormat="false" ht="15" hidden="false" customHeight="false" outlineLevel="0" collapsed="false">
      <c r="B464" s="8" t="s">
        <v>499</v>
      </c>
      <c r="C464" s="7" t="n">
        <v>50</v>
      </c>
      <c r="AB464" s="7" t="n">
        <v>70</v>
      </c>
      <c r="AD464" s="7" t="n">
        <v>70</v>
      </c>
    </row>
    <row r="465" customFormat="false" ht="15" hidden="false" customHeight="false" outlineLevel="0" collapsed="false">
      <c r="B465" s="8" t="s">
        <v>500</v>
      </c>
      <c r="C465" s="7" t="n">
        <v>50</v>
      </c>
      <c r="AB465" s="7" t="n">
        <v>70</v>
      </c>
      <c r="AD465" s="7" t="n">
        <v>70</v>
      </c>
    </row>
    <row r="466" customFormat="false" ht="15" hidden="false" customHeight="false" outlineLevel="0" collapsed="false">
      <c r="B466" s="8" t="s">
        <v>501</v>
      </c>
      <c r="C466" s="7" t="n">
        <v>60</v>
      </c>
      <c r="AB466" s="7" t="n">
        <v>70</v>
      </c>
      <c r="AD466" s="7" t="n">
        <v>70</v>
      </c>
    </row>
    <row r="467" customFormat="false" ht="15" hidden="false" customHeight="false" outlineLevel="0" collapsed="false">
      <c r="B467" s="8" t="s">
        <v>502</v>
      </c>
      <c r="C467" s="7" t="n">
        <v>60</v>
      </c>
      <c r="AB467" s="7" t="n">
        <v>70</v>
      </c>
      <c r="AD467" s="7" t="n">
        <v>60</v>
      </c>
    </row>
    <row r="468" customFormat="false" ht="15" hidden="false" customHeight="false" outlineLevel="0" collapsed="false">
      <c r="B468" s="8" t="s">
        <v>503</v>
      </c>
      <c r="C468" s="7" t="n">
        <v>30</v>
      </c>
      <c r="AB468" s="7" t="n">
        <v>60</v>
      </c>
      <c r="AD468" s="7" t="n">
        <v>60</v>
      </c>
    </row>
    <row r="469" customFormat="false" ht="15" hidden="false" customHeight="false" outlineLevel="0" collapsed="false">
      <c r="B469" s="8" t="s">
        <v>504</v>
      </c>
      <c r="C469" s="7" t="n">
        <v>60</v>
      </c>
      <c r="AB469" s="7" t="n">
        <v>60</v>
      </c>
      <c r="AD469" s="7" t="n">
        <v>60</v>
      </c>
    </row>
    <row r="470" customFormat="false" ht="15" hidden="false" customHeight="false" outlineLevel="0" collapsed="false">
      <c r="B470" s="8" t="s">
        <v>505</v>
      </c>
      <c r="C470" s="7" t="n">
        <v>70</v>
      </c>
      <c r="AB470" s="7" t="n">
        <v>60</v>
      </c>
      <c r="AD470" s="7" t="n">
        <v>60</v>
      </c>
    </row>
    <row r="471" customFormat="false" ht="15" hidden="false" customHeight="false" outlineLevel="0" collapsed="false">
      <c r="B471" s="8" t="s">
        <v>506</v>
      </c>
      <c r="C471" s="7" t="n">
        <v>60</v>
      </c>
      <c r="AB471" s="7" t="n">
        <v>60</v>
      </c>
      <c r="AD471" s="7" t="n">
        <v>0</v>
      </c>
    </row>
    <row r="472" customFormat="false" ht="15" hidden="false" customHeight="false" outlineLevel="0" collapsed="false">
      <c r="B472" s="8" t="s">
        <v>507</v>
      </c>
      <c r="C472" s="7" t="n">
        <v>60</v>
      </c>
      <c r="AB472" s="7" t="n">
        <v>0</v>
      </c>
      <c r="AD472" s="7" t="n">
        <v>10</v>
      </c>
    </row>
    <row r="473" customFormat="false" ht="15" hidden="false" customHeight="false" outlineLevel="0" collapsed="false">
      <c r="B473" s="8" t="s">
        <v>508</v>
      </c>
      <c r="C473" s="7" t="n">
        <v>60</v>
      </c>
      <c r="AB473" s="7" t="n">
        <v>10</v>
      </c>
      <c r="AD473" s="7" t="n">
        <v>60</v>
      </c>
    </row>
    <row r="474" customFormat="false" ht="15" hidden="false" customHeight="false" outlineLevel="0" collapsed="false">
      <c r="B474" s="8" t="s">
        <v>509</v>
      </c>
      <c r="C474" s="7" t="n">
        <v>60</v>
      </c>
      <c r="AB474" s="7" t="n">
        <v>60</v>
      </c>
      <c r="AD474" s="7" t="n">
        <v>60</v>
      </c>
    </row>
    <row r="475" customFormat="false" ht="15" hidden="false" customHeight="false" outlineLevel="0" collapsed="false">
      <c r="B475" s="8" t="s">
        <v>510</v>
      </c>
      <c r="C475" s="7" t="n">
        <v>60</v>
      </c>
      <c r="AB475" s="7" t="n">
        <v>60</v>
      </c>
      <c r="AD475" s="7" t="n">
        <v>60</v>
      </c>
    </row>
    <row r="476" customFormat="false" ht="15" hidden="false" customHeight="false" outlineLevel="0" collapsed="false">
      <c r="B476" s="8" t="s">
        <v>511</v>
      </c>
      <c r="C476" s="7" t="n">
        <v>70</v>
      </c>
      <c r="AB476" s="7" t="n">
        <v>60</v>
      </c>
      <c r="AD476" s="7" t="n">
        <v>60</v>
      </c>
    </row>
    <row r="477" customFormat="false" ht="15" hidden="false" customHeight="false" outlineLevel="0" collapsed="false">
      <c r="B477" s="8" t="s">
        <v>512</v>
      </c>
      <c r="C477" s="7" t="n">
        <v>70</v>
      </c>
      <c r="AB477" s="7" t="n">
        <v>60</v>
      </c>
      <c r="AD477" s="7" t="n">
        <v>70</v>
      </c>
    </row>
    <row r="478" customFormat="false" ht="15" hidden="false" customHeight="false" outlineLevel="0" collapsed="false">
      <c r="B478" s="8" t="s">
        <v>513</v>
      </c>
      <c r="C478" s="7" t="n">
        <v>70</v>
      </c>
      <c r="AB478" s="7" t="n">
        <v>70</v>
      </c>
      <c r="AD478" s="7" t="n">
        <v>60</v>
      </c>
    </row>
    <row r="479" customFormat="false" ht="15" hidden="false" customHeight="false" outlineLevel="0" collapsed="false">
      <c r="B479" s="8" t="s">
        <v>514</v>
      </c>
      <c r="C479" s="7" t="n">
        <v>70</v>
      </c>
      <c r="AB479" s="7" t="n">
        <v>60</v>
      </c>
      <c r="AD479" s="7" t="n">
        <v>60</v>
      </c>
    </row>
    <row r="480" customFormat="false" ht="15" hidden="false" customHeight="false" outlineLevel="0" collapsed="false">
      <c r="B480" s="8" t="s">
        <v>515</v>
      </c>
      <c r="C480" s="7" t="n">
        <v>60</v>
      </c>
      <c r="AB480" s="7" t="n">
        <v>60</v>
      </c>
      <c r="AD480" s="7" t="n">
        <v>60</v>
      </c>
    </row>
    <row r="481" customFormat="false" ht="15" hidden="false" customHeight="false" outlineLevel="0" collapsed="false">
      <c r="B481" s="8" t="s">
        <v>516</v>
      </c>
      <c r="C481" s="7" t="n">
        <v>60</v>
      </c>
      <c r="AB481" s="7" t="n">
        <v>60</v>
      </c>
      <c r="AD481" s="7" t="n">
        <v>60</v>
      </c>
    </row>
    <row r="482" customFormat="false" ht="15" hidden="false" customHeight="false" outlineLevel="0" collapsed="false">
      <c r="B482" s="8" t="s">
        <v>517</v>
      </c>
      <c r="C482" s="7" t="n">
        <v>60</v>
      </c>
      <c r="AB482" s="7" t="n">
        <v>60</v>
      </c>
      <c r="AD482" s="7" t="n">
        <v>60</v>
      </c>
    </row>
    <row r="483" customFormat="false" ht="15" hidden="false" customHeight="false" outlineLevel="0" collapsed="false">
      <c r="B483" s="8" t="s">
        <v>518</v>
      </c>
      <c r="C483" s="7" t="n">
        <v>60</v>
      </c>
      <c r="AB483" s="7" t="n">
        <v>60</v>
      </c>
      <c r="AD483" s="7" t="n">
        <v>70</v>
      </c>
    </row>
    <row r="484" customFormat="false" ht="15" hidden="false" customHeight="false" outlineLevel="0" collapsed="false">
      <c r="B484" s="8" t="s">
        <v>519</v>
      </c>
      <c r="C484" s="7" t="n">
        <v>0</v>
      </c>
      <c r="AB484" s="7" t="n">
        <v>70</v>
      </c>
      <c r="AD484" s="7" t="n">
        <v>60</v>
      </c>
    </row>
    <row r="485" customFormat="false" ht="15" hidden="false" customHeight="false" outlineLevel="0" collapsed="false">
      <c r="B485" s="8" t="s">
        <v>520</v>
      </c>
      <c r="C485" s="7" t="n">
        <v>10</v>
      </c>
      <c r="AB485" s="7" t="n">
        <v>60</v>
      </c>
      <c r="AD485" s="7" t="n">
        <v>60</v>
      </c>
    </row>
    <row r="486" customFormat="false" ht="15" hidden="false" customHeight="false" outlineLevel="0" collapsed="false">
      <c r="B486" s="8" t="s">
        <v>521</v>
      </c>
      <c r="C486" s="7" t="n">
        <v>60</v>
      </c>
      <c r="AB486" s="7" t="n">
        <v>60</v>
      </c>
      <c r="AD486" s="7" t="n">
        <v>60</v>
      </c>
    </row>
    <row r="487" customFormat="false" ht="15" hidden="false" customHeight="false" outlineLevel="0" collapsed="false">
      <c r="B487" s="8" t="s">
        <v>522</v>
      </c>
      <c r="C487" s="7" t="n">
        <v>60</v>
      </c>
      <c r="AB487" s="7" t="n">
        <v>60</v>
      </c>
      <c r="AD487" s="7" t="n">
        <v>60</v>
      </c>
    </row>
    <row r="488" customFormat="false" ht="15" hidden="false" customHeight="false" outlineLevel="0" collapsed="false">
      <c r="B488" s="8" t="s">
        <v>523</v>
      </c>
      <c r="C488" s="7" t="n">
        <v>60</v>
      </c>
      <c r="AB488" s="7" t="n">
        <v>60</v>
      </c>
      <c r="AD488" s="7" t="n">
        <v>60</v>
      </c>
    </row>
    <row r="489" customFormat="false" ht="15" hidden="false" customHeight="false" outlineLevel="0" collapsed="false">
      <c r="B489" s="8" t="s">
        <v>524</v>
      </c>
      <c r="C489" s="7" t="n">
        <v>60</v>
      </c>
      <c r="AB489" s="7" t="n">
        <v>60</v>
      </c>
      <c r="AD489" s="7" t="n">
        <v>70</v>
      </c>
    </row>
    <row r="490" customFormat="false" ht="15" hidden="false" customHeight="false" outlineLevel="0" collapsed="false">
      <c r="B490" s="8" t="s">
        <v>525</v>
      </c>
      <c r="C490" s="7" t="n">
        <v>70</v>
      </c>
      <c r="AB490" s="7" t="n">
        <v>70</v>
      </c>
      <c r="AD490" s="7" t="n">
        <v>70</v>
      </c>
    </row>
    <row r="491" customFormat="false" ht="15" hidden="false" customHeight="false" outlineLevel="0" collapsed="false">
      <c r="B491" s="8" t="s">
        <v>526</v>
      </c>
      <c r="C491" s="7" t="n">
        <v>60</v>
      </c>
      <c r="AB491" s="7" t="n">
        <v>70</v>
      </c>
      <c r="AD491" s="7" t="n">
        <v>70</v>
      </c>
    </row>
    <row r="492" customFormat="false" ht="15" hidden="false" customHeight="false" outlineLevel="0" collapsed="false">
      <c r="B492" s="8" t="s">
        <v>527</v>
      </c>
      <c r="C492" s="7" t="n">
        <v>60</v>
      </c>
      <c r="AB492" s="7" t="n">
        <v>70</v>
      </c>
      <c r="AD492" s="7" t="n">
        <v>70</v>
      </c>
    </row>
    <row r="493" customFormat="false" ht="15" hidden="false" customHeight="false" outlineLevel="0" collapsed="false">
      <c r="B493" s="8" t="s">
        <v>528</v>
      </c>
      <c r="C493" s="7" t="n">
        <v>60</v>
      </c>
      <c r="AB493" s="7" t="n">
        <v>70</v>
      </c>
      <c r="AD493" s="7" t="n">
        <v>60</v>
      </c>
    </row>
    <row r="494" customFormat="false" ht="15" hidden="false" customHeight="false" outlineLevel="0" collapsed="false">
      <c r="B494" s="8" t="s">
        <v>529</v>
      </c>
      <c r="C494" s="7" t="n">
        <v>60</v>
      </c>
      <c r="AB494" s="7" t="n">
        <v>60</v>
      </c>
      <c r="AD494" s="7" t="n">
        <v>60</v>
      </c>
    </row>
    <row r="495" customFormat="false" ht="15" hidden="false" customHeight="false" outlineLevel="0" collapsed="false">
      <c r="B495" s="8" t="s">
        <v>530</v>
      </c>
      <c r="C495" s="7" t="n">
        <v>60</v>
      </c>
      <c r="AB495" s="7" t="n">
        <v>60</v>
      </c>
      <c r="AD495" s="7" t="n">
        <v>60</v>
      </c>
    </row>
    <row r="496" customFormat="false" ht="15" hidden="false" customHeight="false" outlineLevel="0" collapsed="false">
      <c r="B496" s="8" t="s">
        <v>531</v>
      </c>
      <c r="C496" s="7" t="n">
        <v>70</v>
      </c>
      <c r="AB496" s="7" t="n">
        <v>60</v>
      </c>
      <c r="AD496" s="7" t="n">
        <v>60</v>
      </c>
    </row>
    <row r="497" customFormat="false" ht="15" hidden="false" customHeight="false" outlineLevel="0" collapsed="false">
      <c r="B497" s="8" t="s">
        <v>532</v>
      </c>
      <c r="C497" s="7" t="n">
        <v>60</v>
      </c>
      <c r="AB497" s="7" t="n">
        <v>60</v>
      </c>
      <c r="AD497" s="7" t="n">
        <v>60</v>
      </c>
    </row>
    <row r="498" customFormat="false" ht="15" hidden="false" customHeight="false" outlineLevel="0" collapsed="false">
      <c r="B498" s="8" t="s">
        <v>533</v>
      </c>
      <c r="C498" s="7" t="n">
        <v>60</v>
      </c>
      <c r="AB498" s="7" t="n">
        <v>60</v>
      </c>
      <c r="AD498" s="7"/>
    </row>
    <row r="499" customFormat="false" ht="15" hidden="false" customHeight="false" outlineLevel="0" collapsed="false">
      <c r="B499" s="8" t="s">
        <v>534</v>
      </c>
      <c r="C499" s="7" t="n">
        <v>60</v>
      </c>
      <c r="AB499" s="7" t="n">
        <v>60</v>
      </c>
      <c r="AD499" s="7" t="n">
        <v>0</v>
      </c>
    </row>
    <row r="500" customFormat="false" ht="15" hidden="false" customHeight="false" outlineLevel="0" collapsed="false">
      <c r="B500" s="8" t="s">
        <v>535</v>
      </c>
      <c r="C500" s="7" t="n">
        <v>60</v>
      </c>
      <c r="AB500" s="7" t="n">
        <v>0</v>
      </c>
      <c r="AD500" s="7" t="n">
        <v>10</v>
      </c>
    </row>
    <row r="501" customFormat="false" ht="15" hidden="false" customHeight="false" outlineLevel="0" collapsed="false">
      <c r="B501" s="8" t="s">
        <v>536</v>
      </c>
      <c r="C501" s="7" t="n">
        <v>60</v>
      </c>
      <c r="AB501" s="7" t="n">
        <v>10</v>
      </c>
      <c r="AD501" s="7" t="n">
        <v>0</v>
      </c>
    </row>
    <row r="502" customFormat="false" ht="15" hidden="false" customHeight="false" outlineLevel="0" collapsed="false">
      <c r="B502" s="8" t="s">
        <v>537</v>
      </c>
      <c r="C502" s="7" t="n">
        <v>70</v>
      </c>
      <c r="AB502" s="7" t="n">
        <v>0</v>
      </c>
      <c r="AD502" s="7"/>
    </row>
    <row r="503" customFormat="false" ht="15" hidden="false" customHeight="false" outlineLevel="0" collapsed="false">
      <c r="B503" s="8" t="s">
        <v>538</v>
      </c>
      <c r="C503" s="7" t="n">
        <v>70</v>
      </c>
      <c r="AB503" s="7" t="n">
        <v>65</v>
      </c>
      <c r="AD503" s="7" t="n">
        <v>50</v>
      </c>
    </row>
    <row r="504" customFormat="false" ht="15" hidden="false" customHeight="false" outlineLevel="0" collapsed="false">
      <c r="B504" s="8" t="s">
        <v>539</v>
      </c>
      <c r="C504" s="7" t="n">
        <v>70</v>
      </c>
      <c r="AB504" s="7" t="n">
        <v>50</v>
      </c>
      <c r="AD504" s="7" t="n">
        <v>60</v>
      </c>
    </row>
    <row r="505" customFormat="false" ht="15" hidden="false" customHeight="false" outlineLevel="0" collapsed="false">
      <c r="B505" s="8" t="s">
        <v>540</v>
      </c>
      <c r="C505" s="7" t="n">
        <v>70</v>
      </c>
      <c r="AB505" s="7" t="n">
        <v>60</v>
      </c>
      <c r="AD505" s="7" t="n">
        <v>60</v>
      </c>
    </row>
    <row r="506" customFormat="false" ht="15" hidden="false" customHeight="false" outlineLevel="0" collapsed="false">
      <c r="B506" s="8" t="s">
        <v>541</v>
      </c>
      <c r="C506" s="7" t="n">
        <v>60</v>
      </c>
      <c r="AB506" s="7" t="n">
        <v>60</v>
      </c>
      <c r="AD506" s="7" t="n">
        <v>60</v>
      </c>
    </row>
    <row r="507" customFormat="false" ht="15" hidden="false" customHeight="false" outlineLevel="0" collapsed="false">
      <c r="B507" s="8" t="s">
        <v>542</v>
      </c>
      <c r="C507" s="7" t="n">
        <v>60</v>
      </c>
      <c r="AB507" s="7" t="n">
        <v>60</v>
      </c>
      <c r="AD507" s="7" t="n">
        <v>60</v>
      </c>
    </row>
    <row r="508" customFormat="false" ht="15" hidden="false" customHeight="false" outlineLevel="0" collapsed="false">
      <c r="B508" s="8" t="s">
        <v>543</v>
      </c>
      <c r="C508" s="7" t="n">
        <v>60</v>
      </c>
      <c r="AB508" s="7" t="n">
        <v>60</v>
      </c>
      <c r="AD508" s="7" t="n">
        <v>70</v>
      </c>
    </row>
    <row r="509" customFormat="false" ht="15" hidden="false" customHeight="false" outlineLevel="0" collapsed="false">
      <c r="B509" s="8" t="s">
        <v>544</v>
      </c>
      <c r="C509" s="7" t="n">
        <v>60</v>
      </c>
      <c r="AB509" s="7" t="n">
        <v>70</v>
      </c>
      <c r="AD509" s="7"/>
    </row>
    <row r="510" customFormat="false" ht="15" hidden="false" customHeight="false" outlineLevel="0" collapsed="false">
      <c r="B510" s="8" t="s">
        <v>545</v>
      </c>
      <c r="C510" s="7" t="n">
        <v>60</v>
      </c>
      <c r="AB510" s="7" t="n">
        <v>120</v>
      </c>
      <c r="AD510" s="7"/>
    </row>
    <row r="511" customFormat="false" ht="15" hidden="false" customHeight="false" outlineLevel="0" collapsed="false">
      <c r="B511" s="8" t="s">
        <v>546</v>
      </c>
      <c r="C511" s="7" t="n">
        <v>60</v>
      </c>
      <c r="AB511" s="7" t="n">
        <v>60</v>
      </c>
      <c r="AD511" s="7" t="n">
        <v>60</v>
      </c>
    </row>
    <row r="512" customFormat="false" ht="15" hidden="false" customHeight="false" outlineLevel="0" collapsed="false">
      <c r="B512" s="8" t="s">
        <v>547</v>
      </c>
      <c r="C512" s="7" t="n">
        <v>0</v>
      </c>
      <c r="AB512" s="7" t="n">
        <v>60</v>
      </c>
      <c r="AD512" s="7"/>
    </row>
    <row r="513" customFormat="false" ht="15" hidden="false" customHeight="false" outlineLevel="0" collapsed="false">
      <c r="B513" s="8" t="s">
        <v>548</v>
      </c>
      <c r="C513" s="7" t="n">
        <v>10</v>
      </c>
      <c r="AB513" s="7" t="n">
        <v>120</v>
      </c>
      <c r="AD513" s="7" t="n">
        <v>60</v>
      </c>
    </row>
    <row r="514" customFormat="false" ht="15" hidden="false" customHeight="false" outlineLevel="0" collapsed="false">
      <c r="B514" s="8" t="s">
        <v>549</v>
      </c>
      <c r="C514" s="7" t="n">
        <v>0</v>
      </c>
      <c r="AB514" s="7" t="n">
        <v>60</v>
      </c>
      <c r="AD514" s="7" t="n">
        <v>60</v>
      </c>
    </row>
    <row r="515" customFormat="false" ht="15" hidden="false" customHeight="false" outlineLevel="0" collapsed="false">
      <c r="B515" s="8" t="s">
        <v>550</v>
      </c>
      <c r="C515" s="7" t="n">
        <v>65</v>
      </c>
      <c r="AB515" s="7" t="n">
        <v>60</v>
      </c>
      <c r="AD515" s="7" t="n">
        <v>130</v>
      </c>
    </row>
    <row r="516" customFormat="false" ht="15" hidden="false" customHeight="false" outlineLevel="0" collapsed="false">
      <c r="B516" s="8" t="s">
        <v>551</v>
      </c>
      <c r="C516" s="7" t="n">
        <v>50</v>
      </c>
      <c r="AB516" s="7" t="n">
        <v>130</v>
      </c>
      <c r="AD516" s="7" t="n">
        <v>130</v>
      </c>
    </row>
    <row r="517" customFormat="false" ht="15" hidden="false" customHeight="false" outlineLevel="0" collapsed="false">
      <c r="B517" s="8" t="s">
        <v>552</v>
      </c>
      <c r="C517" s="7" t="n">
        <v>60</v>
      </c>
      <c r="AB517" s="7" t="n">
        <v>130</v>
      </c>
      <c r="AD517" s="7" t="n">
        <v>130</v>
      </c>
    </row>
    <row r="518" customFormat="false" ht="15" hidden="false" customHeight="false" outlineLevel="0" collapsed="false">
      <c r="B518" s="8" t="s">
        <v>553</v>
      </c>
      <c r="C518" s="7" t="n">
        <v>60</v>
      </c>
      <c r="AB518" s="7" t="n">
        <v>130</v>
      </c>
      <c r="AD518" s="7" t="n">
        <v>130</v>
      </c>
    </row>
    <row r="519" customFormat="false" ht="15" hidden="false" customHeight="false" outlineLevel="0" collapsed="false">
      <c r="B519" s="8" t="s">
        <v>554</v>
      </c>
      <c r="C519" s="7" t="n">
        <v>60</v>
      </c>
      <c r="AB519" s="7" t="n">
        <v>130</v>
      </c>
      <c r="AD519" s="7" t="n">
        <v>130</v>
      </c>
    </row>
    <row r="520" customFormat="false" ht="15" hidden="false" customHeight="false" outlineLevel="0" collapsed="false">
      <c r="B520" s="8" t="s">
        <v>555</v>
      </c>
      <c r="C520" s="7" t="n">
        <v>60</v>
      </c>
      <c r="AB520" s="7" t="n">
        <v>130</v>
      </c>
      <c r="AD520" s="7" t="n">
        <v>130</v>
      </c>
    </row>
    <row r="521" customFormat="false" ht="15" hidden="false" customHeight="false" outlineLevel="0" collapsed="false">
      <c r="B521" s="8" t="s">
        <v>556</v>
      </c>
      <c r="C521" s="7" t="n">
        <v>70</v>
      </c>
      <c r="AB521" s="7" t="n">
        <v>130</v>
      </c>
      <c r="AD521" s="7" t="n">
        <v>130</v>
      </c>
    </row>
    <row r="522" customFormat="false" ht="15" hidden="false" customHeight="false" outlineLevel="0" collapsed="false">
      <c r="B522" s="8" t="s">
        <v>557</v>
      </c>
      <c r="C522" s="7" t="n">
        <v>120</v>
      </c>
      <c r="AB522" s="7" t="n">
        <v>130</v>
      </c>
      <c r="AD522" s="7" t="n">
        <v>130</v>
      </c>
    </row>
    <row r="523" customFormat="false" ht="15" hidden="false" customHeight="false" outlineLevel="0" collapsed="false">
      <c r="B523" s="8" t="s">
        <v>558</v>
      </c>
      <c r="C523" s="7" t="n">
        <v>60</v>
      </c>
      <c r="AB523" s="7" t="n">
        <v>130</v>
      </c>
      <c r="AD523" s="7" t="n">
        <v>130</v>
      </c>
    </row>
    <row r="524" customFormat="false" ht="15" hidden="false" customHeight="false" outlineLevel="0" collapsed="false">
      <c r="B524" s="8" t="s">
        <v>559</v>
      </c>
      <c r="C524" s="7" t="n">
        <v>60</v>
      </c>
      <c r="AB524" s="7" t="n">
        <v>130</v>
      </c>
      <c r="AD524" s="7" t="n">
        <v>130</v>
      </c>
    </row>
    <row r="525" customFormat="false" ht="15" hidden="false" customHeight="false" outlineLevel="0" collapsed="false">
      <c r="B525" s="8" t="s">
        <v>560</v>
      </c>
      <c r="C525" s="7" t="n">
        <v>120</v>
      </c>
      <c r="AB525" s="7" t="n">
        <v>130</v>
      </c>
      <c r="AD525" s="7" t="n">
        <v>130</v>
      </c>
    </row>
    <row r="526" customFormat="false" ht="15" hidden="false" customHeight="false" outlineLevel="0" collapsed="false">
      <c r="B526" s="8" t="s">
        <v>561</v>
      </c>
      <c r="C526" s="7" t="n">
        <v>60</v>
      </c>
      <c r="AB526" s="7" t="n">
        <v>130</v>
      </c>
      <c r="AD526" s="7" t="n">
        <v>130</v>
      </c>
    </row>
    <row r="527" customFormat="false" ht="15" hidden="false" customHeight="false" outlineLevel="0" collapsed="false">
      <c r="B527" s="8" t="s">
        <v>562</v>
      </c>
      <c r="C527" s="7" t="n">
        <v>60</v>
      </c>
      <c r="AB527" s="7" t="n">
        <v>130</v>
      </c>
      <c r="AD527" s="7" t="n">
        <v>130</v>
      </c>
    </row>
    <row r="528" customFormat="false" ht="15" hidden="false" customHeight="false" outlineLevel="0" collapsed="false">
      <c r="B528" s="10" t="s">
        <v>563</v>
      </c>
      <c r="C528" s="7" t="n">
        <v>60</v>
      </c>
      <c r="AB528" s="7" t="n">
        <v>130</v>
      </c>
      <c r="AD528" s="7" t="n">
        <v>130</v>
      </c>
    </row>
    <row r="529" customFormat="false" ht="15" hidden="false" customHeight="false" outlineLevel="0" collapsed="false">
      <c r="B529" s="8" t="s">
        <v>564</v>
      </c>
      <c r="C529" s="7" t="n">
        <v>240</v>
      </c>
      <c r="AB529" s="7" t="n">
        <v>130</v>
      </c>
      <c r="AD529" s="7" t="n">
        <v>130</v>
      </c>
    </row>
    <row r="530" customFormat="false" ht="15" hidden="false" customHeight="false" outlineLevel="0" collapsed="false">
      <c r="B530" s="8" t="s">
        <v>565</v>
      </c>
      <c r="C530" s="7" t="n">
        <v>130</v>
      </c>
      <c r="AB530" s="7" t="n">
        <v>130</v>
      </c>
      <c r="AD530" s="7" t="n">
        <v>70</v>
      </c>
    </row>
    <row r="531" customFormat="false" ht="15" hidden="false" customHeight="false" outlineLevel="0" collapsed="false">
      <c r="B531" s="8" t="s">
        <v>566</v>
      </c>
      <c r="C531" s="7" t="n">
        <v>130</v>
      </c>
      <c r="AB531" s="7" t="n">
        <v>70</v>
      </c>
      <c r="AD531" s="7" t="n">
        <v>80</v>
      </c>
    </row>
    <row r="532" customFormat="false" ht="15" hidden="false" customHeight="false" outlineLevel="0" collapsed="false">
      <c r="B532" s="8" t="s">
        <v>567</v>
      </c>
      <c r="C532" s="7" t="n">
        <v>130</v>
      </c>
      <c r="AB532" s="7" t="n">
        <v>80</v>
      </c>
      <c r="AD532" s="7" t="n">
        <v>60</v>
      </c>
    </row>
    <row r="533" customFormat="false" ht="15" hidden="false" customHeight="false" outlineLevel="0" collapsed="false">
      <c r="B533" s="8" t="s">
        <v>568</v>
      </c>
      <c r="C533" s="7" t="n">
        <v>130</v>
      </c>
      <c r="AB533" s="7" t="n">
        <v>60</v>
      </c>
      <c r="AD533" s="7" t="n">
        <v>60</v>
      </c>
    </row>
    <row r="534" customFormat="false" ht="15" hidden="false" customHeight="false" outlineLevel="0" collapsed="false">
      <c r="B534" s="8" t="s">
        <v>569</v>
      </c>
      <c r="C534" s="7" t="n">
        <v>130</v>
      </c>
      <c r="AB534" s="7" t="n">
        <v>60</v>
      </c>
      <c r="AD534" s="7" t="n">
        <v>0</v>
      </c>
    </row>
    <row r="535" customFormat="false" ht="15" hidden="false" customHeight="false" outlineLevel="0" collapsed="false">
      <c r="B535" s="8" t="s">
        <v>570</v>
      </c>
      <c r="C535" s="7" t="n">
        <v>130</v>
      </c>
      <c r="AB535" s="7" t="n">
        <v>0</v>
      </c>
      <c r="AD535" s="7" t="n">
        <v>15</v>
      </c>
    </row>
    <row r="536" customFormat="false" ht="15" hidden="false" customHeight="false" outlineLevel="0" collapsed="false">
      <c r="B536" s="8" t="s">
        <v>571</v>
      </c>
      <c r="C536" s="7" t="n">
        <v>130</v>
      </c>
      <c r="AB536" s="7" t="n">
        <v>15</v>
      </c>
      <c r="AD536" s="7" t="n">
        <v>30</v>
      </c>
    </row>
    <row r="537" customFormat="false" ht="15" hidden="false" customHeight="false" outlineLevel="0" collapsed="false">
      <c r="B537" s="8" t="s">
        <v>572</v>
      </c>
      <c r="C537" s="7" t="n">
        <v>130</v>
      </c>
      <c r="AB537" s="7" t="n">
        <v>30</v>
      </c>
      <c r="AD537" s="7" t="n">
        <v>40</v>
      </c>
    </row>
    <row r="538" customFormat="false" ht="15" hidden="false" customHeight="false" outlineLevel="0" collapsed="false">
      <c r="B538" s="8" t="s">
        <v>573</v>
      </c>
      <c r="C538" s="7" t="n">
        <v>130</v>
      </c>
      <c r="AB538" s="7" t="n">
        <v>40</v>
      </c>
      <c r="AD538" s="7" t="n">
        <v>130</v>
      </c>
    </row>
    <row r="539" customFormat="false" ht="15" hidden="false" customHeight="false" outlineLevel="0" collapsed="false">
      <c r="B539" s="8" t="s">
        <v>574</v>
      </c>
      <c r="C539" s="7" t="n">
        <v>130</v>
      </c>
      <c r="AB539" s="7" t="n">
        <v>130</v>
      </c>
      <c r="AD539" s="7" t="n">
        <v>130</v>
      </c>
    </row>
    <row r="540" customFormat="false" ht="15" hidden="false" customHeight="false" outlineLevel="0" collapsed="false">
      <c r="B540" s="8" t="s">
        <v>575</v>
      </c>
      <c r="C540" s="7" t="n">
        <v>130</v>
      </c>
      <c r="AB540" s="7" t="n">
        <v>130</v>
      </c>
      <c r="AD540" s="7" t="n">
        <v>130</v>
      </c>
    </row>
    <row r="541" customFormat="false" ht="15" hidden="false" customHeight="false" outlineLevel="0" collapsed="false">
      <c r="B541" s="8" t="s">
        <v>576</v>
      </c>
      <c r="C541" s="7" t="n">
        <v>130</v>
      </c>
      <c r="AB541" s="7" t="n">
        <v>130</v>
      </c>
      <c r="AD541" s="7" t="n">
        <v>130</v>
      </c>
    </row>
    <row r="542" customFormat="false" ht="15" hidden="false" customHeight="false" outlineLevel="0" collapsed="false">
      <c r="B542" s="8" t="s">
        <v>577</v>
      </c>
      <c r="C542" s="7" t="n">
        <v>130</v>
      </c>
      <c r="AB542" s="7" t="n">
        <v>130</v>
      </c>
      <c r="AD542" s="7" t="n">
        <v>130</v>
      </c>
    </row>
    <row r="543" customFormat="false" ht="15" hidden="false" customHeight="false" outlineLevel="0" collapsed="false">
      <c r="B543" s="8" t="s">
        <v>578</v>
      </c>
      <c r="C543" s="7" t="n">
        <v>130</v>
      </c>
      <c r="AB543" s="7" t="n">
        <v>130</v>
      </c>
      <c r="AD543" s="7" t="n">
        <v>130</v>
      </c>
    </row>
    <row r="544" customFormat="false" ht="15" hidden="false" customHeight="false" outlineLevel="0" collapsed="false">
      <c r="B544" s="8" t="s">
        <v>579</v>
      </c>
      <c r="C544" s="7" t="n">
        <v>130</v>
      </c>
      <c r="AB544" s="7" t="n">
        <v>130</v>
      </c>
      <c r="AD544" s="7" t="n">
        <v>130</v>
      </c>
    </row>
    <row r="545" customFormat="false" ht="15" hidden="false" customHeight="false" outlineLevel="0" collapsed="false">
      <c r="B545" s="8" t="s">
        <v>580</v>
      </c>
      <c r="C545" s="7" t="n">
        <v>70</v>
      </c>
      <c r="AB545" s="7" t="n">
        <v>130</v>
      </c>
      <c r="AD545" s="7" t="n">
        <v>130</v>
      </c>
    </row>
    <row r="546" customFormat="false" ht="15" hidden="false" customHeight="false" outlineLevel="0" collapsed="false">
      <c r="B546" s="8" t="s">
        <v>581</v>
      </c>
      <c r="C546" s="7" t="n">
        <v>80</v>
      </c>
      <c r="AB546" s="7" t="n">
        <v>130</v>
      </c>
      <c r="AD546" s="7" t="n">
        <v>130</v>
      </c>
    </row>
    <row r="547" customFormat="false" ht="15" hidden="false" customHeight="false" outlineLevel="0" collapsed="false">
      <c r="B547" s="8" t="s">
        <v>582</v>
      </c>
      <c r="C547" s="7" t="n">
        <v>60</v>
      </c>
      <c r="AB547" s="7" t="n">
        <v>130</v>
      </c>
      <c r="AD547" s="7" t="n">
        <v>60</v>
      </c>
    </row>
    <row r="548" customFormat="false" ht="15" hidden="false" customHeight="false" outlineLevel="0" collapsed="false">
      <c r="B548" s="8" t="s">
        <v>583</v>
      </c>
      <c r="C548" s="7" t="n">
        <v>60</v>
      </c>
      <c r="AB548" s="7" t="n">
        <v>60</v>
      </c>
      <c r="AD548" s="7" t="n">
        <v>120</v>
      </c>
    </row>
    <row r="549" customFormat="false" ht="15" hidden="false" customHeight="false" outlineLevel="0" collapsed="false">
      <c r="B549" s="8" t="s">
        <v>584</v>
      </c>
      <c r="C549" s="7" t="n">
        <v>0</v>
      </c>
      <c r="AB549" s="7" t="n">
        <v>120</v>
      </c>
      <c r="AD549" s="7" t="n">
        <v>120</v>
      </c>
    </row>
    <row r="550" customFormat="false" ht="15" hidden="false" customHeight="false" outlineLevel="0" collapsed="false">
      <c r="B550" s="8" t="s">
        <v>585</v>
      </c>
      <c r="C550" s="7" t="n">
        <v>15</v>
      </c>
      <c r="AB550" s="7" t="n">
        <v>120</v>
      </c>
      <c r="AD550" s="7" t="n">
        <v>120</v>
      </c>
    </row>
    <row r="551" customFormat="false" ht="15" hidden="false" customHeight="false" outlineLevel="0" collapsed="false">
      <c r="B551" s="8" t="s">
        <v>586</v>
      </c>
      <c r="C551" s="7" t="n">
        <v>30</v>
      </c>
      <c r="AB551" s="7" t="n">
        <v>120</v>
      </c>
      <c r="AD551" s="7" t="n">
        <v>120</v>
      </c>
    </row>
    <row r="552" customFormat="false" ht="15" hidden="false" customHeight="false" outlineLevel="0" collapsed="false">
      <c r="B552" s="8" t="s">
        <v>587</v>
      </c>
      <c r="C552" s="7" t="n">
        <v>40</v>
      </c>
      <c r="AB552" s="7" t="n">
        <v>120</v>
      </c>
      <c r="AD552" s="7" t="n">
        <v>120</v>
      </c>
    </row>
    <row r="553" customFormat="false" ht="15" hidden="false" customHeight="false" outlineLevel="0" collapsed="false">
      <c r="B553" s="8" t="s">
        <v>588</v>
      </c>
      <c r="C553" s="7" t="n">
        <v>130</v>
      </c>
      <c r="AB553" s="7" t="n">
        <v>120</v>
      </c>
      <c r="AD553" s="7" t="n">
        <v>120</v>
      </c>
    </row>
    <row r="554" customFormat="false" ht="15" hidden="false" customHeight="false" outlineLevel="0" collapsed="false">
      <c r="B554" s="8" t="s">
        <v>589</v>
      </c>
      <c r="C554" s="7" t="n">
        <v>130</v>
      </c>
      <c r="AB554" s="7" t="n">
        <v>120</v>
      </c>
      <c r="AD554" s="7" t="n">
        <v>120</v>
      </c>
    </row>
    <row r="555" customFormat="false" ht="15" hidden="false" customHeight="false" outlineLevel="0" collapsed="false">
      <c r="B555" s="8" t="s">
        <v>590</v>
      </c>
      <c r="C555" s="7" t="n">
        <v>130</v>
      </c>
      <c r="AB555" s="7" t="n">
        <v>120</v>
      </c>
      <c r="AD555" s="7" t="n">
        <v>120</v>
      </c>
    </row>
    <row r="556" customFormat="false" ht="15" hidden="false" customHeight="false" outlineLevel="0" collapsed="false">
      <c r="B556" s="8" t="s">
        <v>591</v>
      </c>
      <c r="C556" s="7" t="n">
        <v>130</v>
      </c>
      <c r="AB556" s="7" t="n">
        <v>120</v>
      </c>
      <c r="AD556" s="7" t="n">
        <v>120</v>
      </c>
    </row>
    <row r="557" customFormat="false" ht="15" hidden="false" customHeight="false" outlineLevel="0" collapsed="false">
      <c r="B557" s="8" t="s">
        <v>592</v>
      </c>
      <c r="C557" s="7" t="n">
        <v>130</v>
      </c>
      <c r="AB557" s="7" t="n">
        <v>120</v>
      </c>
      <c r="AD557" s="7" t="n">
        <v>120</v>
      </c>
    </row>
    <row r="558" customFormat="false" ht="15" hidden="false" customHeight="false" outlineLevel="0" collapsed="false">
      <c r="B558" s="8" t="s">
        <v>593</v>
      </c>
      <c r="C558" s="7" t="n">
        <v>130</v>
      </c>
      <c r="AB558" s="7" t="n">
        <v>120</v>
      </c>
      <c r="AD558" s="7" t="n">
        <v>120</v>
      </c>
    </row>
    <row r="559" customFormat="false" ht="15" hidden="false" customHeight="false" outlineLevel="0" collapsed="false">
      <c r="B559" s="8" t="s">
        <v>594</v>
      </c>
      <c r="C559" s="7" t="n">
        <v>130</v>
      </c>
      <c r="AB559" s="7" t="n">
        <v>120</v>
      </c>
      <c r="AD559" s="7" t="n">
        <v>120</v>
      </c>
    </row>
    <row r="560" customFormat="false" ht="15" hidden="false" customHeight="false" outlineLevel="0" collapsed="false">
      <c r="B560" s="8" t="s">
        <v>595</v>
      </c>
      <c r="C560" s="7" t="n">
        <v>130</v>
      </c>
      <c r="AB560" s="7" t="n">
        <v>120</v>
      </c>
      <c r="AD560" s="7" t="n">
        <v>120</v>
      </c>
    </row>
    <row r="561" customFormat="false" ht="15" hidden="false" customHeight="false" outlineLevel="0" collapsed="false">
      <c r="B561" s="8" t="s">
        <v>596</v>
      </c>
      <c r="C561" s="7" t="n">
        <v>130</v>
      </c>
      <c r="AB561" s="7" t="n">
        <v>120</v>
      </c>
      <c r="AD561" s="7" t="n">
        <v>120</v>
      </c>
    </row>
    <row r="562" customFormat="false" ht="15" hidden="false" customHeight="false" outlineLevel="0" collapsed="false">
      <c r="B562" s="8" t="s">
        <v>597</v>
      </c>
      <c r="C562" s="7" t="n">
        <v>60</v>
      </c>
      <c r="AB562" s="7" t="n">
        <v>120</v>
      </c>
      <c r="AD562" s="7" t="n">
        <v>120</v>
      </c>
    </row>
    <row r="563" customFormat="false" ht="15" hidden="false" customHeight="false" outlineLevel="0" collapsed="false">
      <c r="B563" s="8" t="s">
        <v>598</v>
      </c>
      <c r="C563" s="7" t="n">
        <v>120</v>
      </c>
      <c r="AB563" s="7" t="n">
        <v>120</v>
      </c>
      <c r="AD563" s="7"/>
    </row>
    <row r="564" customFormat="false" ht="15" hidden="false" customHeight="false" outlineLevel="0" collapsed="false">
      <c r="B564" s="8" t="s">
        <v>599</v>
      </c>
      <c r="C564" s="7" t="n">
        <v>120</v>
      </c>
      <c r="AB564" s="7" t="n">
        <v>120</v>
      </c>
      <c r="AD564" s="7"/>
    </row>
    <row r="565" customFormat="false" ht="15" hidden="false" customHeight="false" outlineLevel="0" collapsed="false">
      <c r="B565" s="8" t="s">
        <v>600</v>
      </c>
      <c r="C565" s="7" t="n">
        <v>120</v>
      </c>
      <c r="AB565" s="7" t="n">
        <v>65</v>
      </c>
      <c r="AD565" s="7" t="n">
        <v>65</v>
      </c>
    </row>
    <row r="566" customFormat="false" ht="15" hidden="false" customHeight="false" outlineLevel="0" collapsed="false">
      <c r="B566" s="8" t="s">
        <v>601</v>
      </c>
      <c r="C566" s="7" t="n">
        <v>120</v>
      </c>
      <c r="AB566" s="7" t="n">
        <v>40</v>
      </c>
      <c r="AD566" s="7" t="n">
        <v>60</v>
      </c>
    </row>
    <row r="567" customFormat="false" ht="15" hidden="false" customHeight="false" outlineLevel="0" collapsed="false">
      <c r="B567" s="8" t="s">
        <v>602</v>
      </c>
      <c r="C567" s="7" t="n">
        <v>120</v>
      </c>
      <c r="AB567" s="7" t="n">
        <v>60</v>
      </c>
      <c r="AD567" s="7" t="n">
        <v>60</v>
      </c>
    </row>
    <row r="568" customFormat="false" ht="15" hidden="false" customHeight="false" outlineLevel="0" collapsed="false">
      <c r="B568" s="8" t="s">
        <v>603</v>
      </c>
      <c r="C568" s="7" t="n">
        <v>120</v>
      </c>
      <c r="AB568" s="7" t="n">
        <v>60</v>
      </c>
      <c r="AD568" s="7" t="n">
        <v>60</v>
      </c>
    </row>
    <row r="569" customFormat="false" ht="15" hidden="false" customHeight="false" outlineLevel="0" collapsed="false">
      <c r="B569" s="8" t="s">
        <v>604</v>
      </c>
      <c r="C569" s="7" t="n">
        <v>120</v>
      </c>
      <c r="AB569" s="7" t="n">
        <v>60</v>
      </c>
      <c r="AD569" s="7" t="n">
        <v>15</v>
      </c>
    </row>
    <row r="570" customFormat="false" ht="15" hidden="false" customHeight="false" outlineLevel="0" collapsed="false">
      <c r="B570" s="8" t="s">
        <v>605</v>
      </c>
      <c r="C570" s="7" t="n">
        <v>120</v>
      </c>
      <c r="AB570" s="7" t="n">
        <v>15</v>
      </c>
      <c r="AD570" s="7" t="n">
        <v>0</v>
      </c>
    </row>
    <row r="571" customFormat="false" ht="15" hidden="false" customHeight="false" outlineLevel="0" collapsed="false">
      <c r="B571" s="8" t="s">
        <v>606</v>
      </c>
      <c r="C571" s="7" t="n">
        <v>120</v>
      </c>
      <c r="AB571" s="7" t="n">
        <v>0</v>
      </c>
      <c r="AD571" s="7" t="n">
        <v>0</v>
      </c>
    </row>
    <row r="572" customFormat="false" ht="15" hidden="false" customHeight="false" outlineLevel="0" collapsed="false">
      <c r="B572" s="8" t="s">
        <v>607</v>
      </c>
      <c r="C572" s="7" t="n">
        <v>120</v>
      </c>
      <c r="AB572" s="7" t="n">
        <v>20</v>
      </c>
      <c r="AD572" s="7" t="n">
        <v>30</v>
      </c>
    </row>
    <row r="573" customFormat="false" ht="15" hidden="false" customHeight="false" outlineLevel="0" collapsed="false">
      <c r="B573" s="8" t="s">
        <v>608</v>
      </c>
      <c r="C573" s="7" t="n">
        <v>120</v>
      </c>
      <c r="AB573" s="7" t="n">
        <v>30</v>
      </c>
      <c r="AD573" s="7" t="n">
        <v>120</v>
      </c>
    </row>
    <row r="574" customFormat="false" ht="15" hidden="false" customHeight="false" outlineLevel="0" collapsed="false">
      <c r="B574" s="8" t="s">
        <v>609</v>
      </c>
      <c r="C574" s="7" t="n">
        <v>120</v>
      </c>
      <c r="AB574" s="7" t="n">
        <v>120</v>
      </c>
      <c r="AD574" s="7" t="n">
        <v>120</v>
      </c>
    </row>
    <row r="575" customFormat="false" ht="15" hidden="false" customHeight="false" outlineLevel="0" collapsed="false">
      <c r="B575" s="8" t="s">
        <v>610</v>
      </c>
      <c r="C575" s="7" t="n">
        <v>120</v>
      </c>
      <c r="AB575" s="7" t="n">
        <v>120</v>
      </c>
      <c r="AD575" s="7" t="n">
        <v>120</v>
      </c>
    </row>
    <row r="576" customFormat="false" ht="15" hidden="false" customHeight="false" outlineLevel="0" collapsed="false">
      <c r="B576" s="8" t="s">
        <v>611</v>
      </c>
      <c r="C576" s="7" t="n">
        <v>120</v>
      </c>
      <c r="AB576" s="7" t="n">
        <v>120</v>
      </c>
      <c r="AD576" s="7" t="n">
        <v>120</v>
      </c>
    </row>
    <row r="577" customFormat="false" ht="15" hidden="false" customHeight="false" outlineLevel="0" collapsed="false">
      <c r="B577" s="8" t="s">
        <v>612</v>
      </c>
      <c r="C577" s="7" t="n">
        <v>120</v>
      </c>
      <c r="AB577" s="7" t="n">
        <v>120</v>
      </c>
      <c r="AD577" s="7" t="n">
        <v>120</v>
      </c>
    </row>
    <row r="578" customFormat="false" ht="15" hidden="false" customHeight="false" outlineLevel="0" collapsed="false">
      <c r="B578" s="8" t="s">
        <v>613</v>
      </c>
      <c r="C578" s="7" t="n">
        <v>120</v>
      </c>
      <c r="AB578" s="7" t="n">
        <v>120</v>
      </c>
      <c r="AD578" s="7" t="n">
        <v>120</v>
      </c>
    </row>
    <row r="579" customFormat="false" ht="15" hidden="false" customHeight="false" outlineLevel="0" collapsed="false">
      <c r="B579" s="8" t="s">
        <v>614</v>
      </c>
      <c r="C579" s="7" t="n">
        <v>65</v>
      </c>
      <c r="AB579" s="7" t="n">
        <v>120</v>
      </c>
      <c r="AD579" s="7" t="n">
        <v>120</v>
      </c>
    </row>
    <row r="580" customFormat="false" ht="15" hidden="false" customHeight="false" outlineLevel="0" collapsed="false">
      <c r="B580" s="8" t="s">
        <v>615</v>
      </c>
      <c r="C580" s="7" t="n">
        <v>40</v>
      </c>
      <c r="AB580" s="7" t="n">
        <v>120</v>
      </c>
      <c r="AD580" s="7" t="n">
        <v>120</v>
      </c>
    </row>
    <row r="581" customFormat="false" ht="15" hidden="false" customHeight="false" outlineLevel="0" collapsed="false">
      <c r="B581" s="8" t="s">
        <v>616</v>
      </c>
      <c r="C581" s="7" t="n">
        <v>60</v>
      </c>
      <c r="AB581" s="7" t="n">
        <v>120</v>
      </c>
      <c r="AD581" s="7" t="n">
        <v>50</v>
      </c>
    </row>
    <row r="582" customFormat="false" ht="15" hidden="false" customHeight="false" outlineLevel="0" collapsed="false">
      <c r="B582" s="8" t="s">
        <v>617</v>
      </c>
      <c r="C582" s="7" t="n">
        <v>60</v>
      </c>
      <c r="AB582" s="7" t="n">
        <v>120</v>
      </c>
      <c r="AD582" s="7" t="n">
        <v>100</v>
      </c>
    </row>
    <row r="583" customFormat="false" ht="15" hidden="false" customHeight="false" outlineLevel="0" collapsed="false">
      <c r="B583" s="8" t="s">
        <v>618</v>
      </c>
      <c r="C583" s="7" t="n">
        <v>60</v>
      </c>
      <c r="AB583" s="7" t="n">
        <v>50</v>
      </c>
      <c r="AD583" s="7" t="n">
        <v>100</v>
      </c>
    </row>
    <row r="584" customFormat="false" ht="15" hidden="false" customHeight="false" outlineLevel="0" collapsed="false">
      <c r="B584" s="8" t="s">
        <v>619</v>
      </c>
      <c r="C584" s="7" t="n">
        <v>15</v>
      </c>
      <c r="AB584" s="7" t="n">
        <v>100</v>
      </c>
      <c r="AD584" s="7" t="n">
        <v>100</v>
      </c>
    </row>
    <row r="585" customFormat="false" ht="15" hidden="false" customHeight="false" outlineLevel="0" collapsed="false">
      <c r="B585" s="8" t="s">
        <v>620</v>
      </c>
      <c r="C585" s="7" t="n">
        <v>0</v>
      </c>
      <c r="AB585" s="7" t="n">
        <v>100</v>
      </c>
      <c r="AD585" s="7" t="n">
        <v>100</v>
      </c>
    </row>
    <row r="586" customFormat="false" ht="15" hidden="false" customHeight="false" outlineLevel="0" collapsed="false">
      <c r="B586" s="8" t="s">
        <v>621</v>
      </c>
      <c r="C586" s="7" t="n">
        <v>20</v>
      </c>
      <c r="AB586" s="7" t="n">
        <v>100</v>
      </c>
      <c r="AD586" s="7" t="n">
        <v>100</v>
      </c>
    </row>
    <row r="587" customFormat="false" ht="15" hidden="false" customHeight="false" outlineLevel="0" collapsed="false">
      <c r="B587" s="8" t="s">
        <v>622</v>
      </c>
      <c r="C587" s="7" t="n">
        <v>30</v>
      </c>
      <c r="AB587" s="7" t="n">
        <v>100</v>
      </c>
      <c r="AD587" s="7" t="n">
        <v>100</v>
      </c>
    </row>
    <row r="588" customFormat="false" ht="15" hidden="false" customHeight="false" outlineLevel="0" collapsed="false">
      <c r="B588" s="8" t="s">
        <v>623</v>
      </c>
      <c r="C588" s="7" t="n">
        <v>60</v>
      </c>
      <c r="AB588" s="7" t="n">
        <v>100</v>
      </c>
      <c r="AD588" s="7" t="n">
        <v>100</v>
      </c>
    </row>
    <row r="589" customFormat="false" ht="15" hidden="false" customHeight="false" outlineLevel="0" collapsed="false">
      <c r="B589" s="8" t="s">
        <v>624</v>
      </c>
      <c r="C589" s="7" t="n">
        <v>120</v>
      </c>
      <c r="AB589" s="7" t="n">
        <v>100</v>
      </c>
      <c r="AD589" s="7" t="n">
        <v>100</v>
      </c>
    </row>
    <row r="590" customFormat="false" ht="15" hidden="false" customHeight="false" outlineLevel="0" collapsed="false">
      <c r="B590" s="8" t="s">
        <v>625</v>
      </c>
      <c r="C590" s="7" t="n">
        <v>120</v>
      </c>
      <c r="AB590" s="7" t="n">
        <v>100</v>
      </c>
      <c r="AD590" s="7" t="n">
        <v>100</v>
      </c>
    </row>
    <row r="591" customFormat="false" ht="15" hidden="false" customHeight="false" outlineLevel="0" collapsed="false">
      <c r="B591" s="8" t="s">
        <v>626</v>
      </c>
      <c r="C591" s="7" t="n">
        <v>120</v>
      </c>
      <c r="AB591" s="7" t="n">
        <v>100</v>
      </c>
      <c r="AD591" s="7" t="n">
        <v>100</v>
      </c>
    </row>
    <row r="592" customFormat="false" ht="15" hidden="false" customHeight="false" outlineLevel="0" collapsed="false">
      <c r="B592" s="8" t="s">
        <v>627</v>
      </c>
      <c r="C592" s="7" t="n">
        <v>120</v>
      </c>
      <c r="AB592" s="7" t="n">
        <v>100</v>
      </c>
      <c r="AD592" s="7" t="n">
        <v>100</v>
      </c>
    </row>
    <row r="593" customFormat="false" ht="15" hidden="false" customHeight="false" outlineLevel="0" collapsed="false">
      <c r="B593" s="8" t="s">
        <v>628</v>
      </c>
      <c r="C593" s="7" t="n">
        <v>120</v>
      </c>
      <c r="AB593" s="7" t="n">
        <v>100</v>
      </c>
      <c r="AD593" s="7" t="n">
        <v>100</v>
      </c>
    </row>
    <row r="594" customFormat="false" ht="15" hidden="false" customHeight="false" outlineLevel="0" collapsed="false">
      <c r="B594" s="8" t="s">
        <v>629</v>
      </c>
      <c r="C594" s="7" t="n">
        <v>120</v>
      </c>
      <c r="AB594" s="7" t="n">
        <v>100</v>
      </c>
      <c r="AD594" s="7" t="n">
        <v>100</v>
      </c>
    </row>
    <row r="595" customFormat="false" ht="15" hidden="false" customHeight="false" outlineLevel="0" collapsed="false">
      <c r="B595" s="8" t="s">
        <v>630</v>
      </c>
      <c r="C595" s="7" t="n">
        <v>120</v>
      </c>
      <c r="AB595" s="7" t="n">
        <v>100</v>
      </c>
      <c r="AD595" s="7" t="n">
        <v>100</v>
      </c>
    </row>
    <row r="596" customFormat="false" ht="15" hidden="false" customHeight="false" outlineLevel="0" collapsed="false">
      <c r="B596" s="8" t="s">
        <v>631</v>
      </c>
      <c r="C596" s="7" t="n">
        <v>120</v>
      </c>
      <c r="AB596" s="7" t="n">
        <v>100</v>
      </c>
      <c r="AD596" s="7" t="n">
        <v>100</v>
      </c>
    </row>
    <row r="597" customFormat="false" ht="15" hidden="false" customHeight="false" outlineLevel="0" collapsed="false">
      <c r="B597" s="8" t="s">
        <v>632</v>
      </c>
      <c r="C597" s="7" t="n">
        <v>120</v>
      </c>
      <c r="AB597" s="7" t="n">
        <v>100</v>
      </c>
      <c r="AD597" s="7" t="n">
        <v>40</v>
      </c>
    </row>
    <row r="598" customFormat="false" ht="15" hidden="false" customHeight="false" outlineLevel="0" collapsed="false">
      <c r="B598" s="8" t="s">
        <v>633</v>
      </c>
      <c r="C598" s="7" t="n">
        <v>60</v>
      </c>
      <c r="AB598" s="7" t="n">
        <v>100</v>
      </c>
      <c r="AD598" s="7" t="n">
        <v>60</v>
      </c>
    </row>
    <row r="599" customFormat="false" ht="15" hidden="false" customHeight="false" outlineLevel="0" collapsed="false">
      <c r="B599" s="8" t="s">
        <v>634</v>
      </c>
      <c r="C599" s="7" t="n">
        <v>0</v>
      </c>
      <c r="AB599" s="7" t="n">
        <v>40</v>
      </c>
      <c r="AD599" s="7" t="n">
        <v>40</v>
      </c>
    </row>
    <row r="600" customFormat="false" ht="15" hidden="false" customHeight="false" outlineLevel="0" collapsed="false">
      <c r="B600" s="8" t="s">
        <v>635</v>
      </c>
      <c r="C600" s="7" t="n">
        <v>60</v>
      </c>
      <c r="AB600" s="7" t="n">
        <v>60</v>
      </c>
      <c r="AD600" s="7" t="n">
        <v>60</v>
      </c>
    </row>
    <row r="601" customFormat="false" ht="15" hidden="false" customHeight="false" outlineLevel="0" collapsed="false">
      <c r="B601" s="8" t="s">
        <v>636</v>
      </c>
      <c r="C601" s="7" t="n">
        <v>50</v>
      </c>
      <c r="AB601" s="7" t="n">
        <v>40</v>
      </c>
      <c r="AD601" s="7" t="n">
        <v>60</v>
      </c>
    </row>
    <row r="602" customFormat="false" ht="15" hidden="false" customHeight="false" outlineLevel="0" collapsed="false">
      <c r="B602" s="8" t="s">
        <v>637</v>
      </c>
      <c r="C602" s="7" t="n">
        <v>100</v>
      </c>
      <c r="AB602" s="7" t="n">
        <v>60</v>
      </c>
      <c r="AD602" s="7" t="n">
        <v>60</v>
      </c>
    </row>
    <row r="603" customFormat="false" ht="15" hidden="false" customHeight="false" outlineLevel="0" collapsed="false">
      <c r="B603" s="8" t="s">
        <v>638</v>
      </c>
      <c r="C603" s="7" t="n">
        <v>100</v>
      </c>
      <c r="AB603" s="7" t="n">
        <v>60</v>
      </c>
      <c r="AD603" s="7" t="n">
        <v>65</v>
      </c>
    </row>
    <row r="604" customFormat="false" ht="15" hidden="false" customHeight="false" outlineLevel="0" collapsed="false">
      <c r="B604" s="8" t="s">
        <v>639</v>
      </c>
      <c r="C604" s="7" t="n">
        <v>100</v>
      </c>
      <c r="AB604" s="7" t="n">
        <v>60</v>
      </c>
      <c r="AD604" s="7" t="n">
        <v>30</v>
      </c>
    </row>
    <row r="605" customFormat="false" ht="15" hidden="false" customHeight="false" outlineLevel="0" collapsed="false">
      <c r="B605" s="8" t="s">
        <v>640</v>
      </c>
      <c r="C605" s="7" t="n">
        <v>100</v>
      </c>
      <c r="AB605" s="7" t="n">
        <v>30</v>
      </c>
      <c r="AD605" s="7" t="n">
        <v>30</v>
      </c>
    </row>
    <row r="606" customFormat="false" ht="15" hidden="false" customHeight="false" outlineLevel="0" collapsed="false">
      <c r="B606" s="8" t="s">
        <v>641</v>
      </c>
      <c r="C606" s="7" t="n">
        <v>100</v>
      </c>
      <c r="AB606" s="7" t="n">
        <v>20</v>
      </c>
      <c r="AD606" s="7" t="n">
        <v>0</v>
      </c>
    </row>
    <row r="607" customFormat="false" ht="15" hidden="false" customHeight="false" outlineLevel="0" collapsed="false">
      <c r="B607" s="8" t="s">
        <v>642</v>
      </c>
      <c r="C607" s="7" t="n">
        <v>100</v>
      </c>
      <c r="AB607" s="7" t="n">
        <v>0</v>
      </c>
      <c r="AD607" s="7"/>
    </row>
    <row r="608" customFormat="false" ht="15" hidden="false" customHeight="false" outlineLevel="0" collapsed="false">
      <c r="B608" s="8" t="s">
        <v>643</v>
      </c>
      <c r="C608" s="7" t="n">
        <v>100</v>
      </c>
      <c r="AB608" s="7" t="n">
        <v>15</v>
      </c>
      <c r="AD608" s="7"/>
    </row>
    <row r="609" customFormat="false" ht="15" hidden="false" customHeight="false" outlineLevel="0" collapsed="false">
      <c r="B609" s="8" t="s">
        <v>644</v>
      </c>
      <c r="C609" s="7" t="n">
        <v>100</v>
      </c>
      <c r="AB609" s="7" t="n">
        <v>40</v>
      </c>
      <c r="AD609" s="7" t="n">
        <v>100</v>
      </c>
    </row>
    <row r="610" customFormat="false" ht="15" hidden="false" customHeight="false" outlineLevel="0" collapsed="false">
      <c r="B610" s="8" t="s">
        <v>645</v>
      </c>
      <c r="C610" s="7" t="n">
        <v>100</v>
      </c>
      <c r="AB610" s="7" t="n">
        <v>60</v>
      </c>
      <c r="AD610" s="7" t="n">
        <v>100</v>
      </c>
    </row>
    <row r="611" customFormat="false" ht="15" hidden="false" customHeight="false" outlineLevel="0" collapsed="false">
      <c r="B611" s="8" t="s">
        <v>646</v>
      </c>
      <c r="C611" s="7" t="n">
        <v>100</v>
      </c>
      <c r="AB611" s="7" t="n">
        <v>100</v>
      </c>
      <c r="AD611" s="7" t="n">
        <v>100</v>
      </c>
    </row>
    <row r="612" customFormat="false" ht="15" hidden="false" customHeight="false" outlineLevel="0" collapsed="false">
      <c r="B612" s="8" t="s">
        <v>647</v>
      </c>
      <c r="C612" s="7" t="n">
        <v>100</v>
      </c>
      <c r="AB612" s="7" t="n">
        <v>100</v>
      </c>
      <c r="AD612" s="7" t="n">
        <v>100</v>
      </c>
    </row>
    <row r="613" customFormat="false" ht="15" hidden="false" customHeight="false" outlineLevel="0" collapsed="false">
      <c r="B613" s="8" t="s">
        <v>648</v>
      </c>
      <c r="C613" s="7" t="n">
        <v>100</v>
      </c>
      <c r="AB613" s="7" t="n">
        <v>100</v>
      </c>
      <c r="AD613" s="7" t="n">
        <v>100</v>
      </c>
    </row>
    <row r="614" customFormat="false" ht="15" hidden="false" customHeight="false" outlineLevel="0" collapsed="false">
      <c r="B614" s="8" t="s">
        <v>649</v>
      </c>
      <c r="C614" s="7" t="n">
        <v>100</v>
      </c>
      <c r="AB614" s="7" t="n">
        <v>100</v>
      </c>
      <c r="AD614" s="7" t="n">
        <v>100</v>
      </c>
    </row>
    <row r="615" customFormat="false" ht="15" hidden="false" customHeight="false" outlineLevel="0" collapsed="false">
      <c r="B615" s="8" t="s">
        <v>650</v>
      </c>
      <c r="C615" s="7" t="n">
        <v>100</v>
      </c>
      <c r="AB615" s="7" t="n">
        <v>100</v>
      </c>
      <c r="AD615" s="7" t="n">
        <v>100</v>
      </c>
    </row>
    <row r="616" customFormat="false" ht="15" hidden="false" customHeight="false" outlineLevel="0" collapsed="false">
      <c r="B616" s="8" t="s">
        <v>651</v>
      </c>
      <c r="C616" s="7" t="n">
        <v>100</v>
      </c>
      <c r="AB616" s="7" t="n">
        <v>100</v>
      </c>
      <c r="AD616" s="7" t="n">
        <v>100</v>
      </c>
    </row>
    <row r="617" customFormat="false" ht="15" hidden="false" customHeight="false" outlineLevel="0" collapsed="false">
      <c r="B617" s="8" t="s">
        <v>652</v>
      </c>
      <c r="C617" s="7" t="n">
        <v>40</v>
      </c>
      <c r="AB617" s="7" t="n">
        <v>100</v>
      </c>
      <c r="AD617" s="7" t="n">
        <v>100</v>
      </c>
    </row>
    <row r="618" customFormat="false" ht="15" hidden="false" customHeight="false" outlineLevel="0" collapsed="false">
      <c r="B618" s="8" t="s">
        <v>653</v>
      </c>
      <c r="C618" s="7" t="n">
        <v>60</v>
      </c>
      <c r="AB618" s="7" t="n">
        <v>100</v>
      </c>
      <c r="AD618" s="7" t="n">
        <v>100</v>
      </c>
    </row>
    <row r="619" customFormat="false" ht="15" hidden="false" customHeight="false" outlineLevel="0" collapsed="false">
      <c r="B619" s="8" t="s">
        <v>654</v>
      </c>
      <c r="C619" s="7" t="n">
        <v>40</v>
      </c>
      <c r="AB619" s="7" t="n">
        <v>100</v>
      </c>
      <c r="AD619" s="7" t="n">
        <v>40</v>
      </c>
    </row>
    <row r="620" customFormat="false" ht="15" hidden="false" customHeight="false" outlineLevel="0" collapsed="false">
      <c r="B620" s="8" t="s">
        <v>655</v>
      </c>
      <c r="C620" s="7" t="n">
        <v>60</v>
      </c>
      <c r="AB620" s="7" t="n">
        <v>100</v>
      </c>
      <c r="AD620" s="7" t="n">
        <v>100</v>
      </c>
    </row>
    <row r="621" customFormat="false" ht="15" hidden="false" customHeight="false" outlineLevel="0" collapsed="false">
      <c r="B621" s="8" t="s">
        <v>656</v>
      </c>
      <c r="C621" s="7" t="n">
        <v>60</v>
      </c>
      <c r="AB621" s="7" t="n">
        <v>40</v>
      </c>
      <c r="AD621" s="7" t="n">
        <v>100</v>
      </c>
    </row>
    <row r="622" customFormat="false" ht="15" hidden="false" customHeight="false" outlineLevel="0" collapsed="false">
      <c r="B622" s="8" t="s">
        <v>657</v>
      </c>
      <c r="C622" s="7" t="n">
        <v>60</v>
      </c>
      <c r="AB622" s="7" t="n">
        <v>100</v>
      </c>
      <c r="AD622" s="7" t="n">
        <v>90</v>
      </c>
    </row>
    <row r="623" customFormat="false" ht="15" hidden="false" customHeight="false" outlineLevel="0" collapsed="false">
      <c r="B623" s="8" t="s">
        <v>658</v>
      </c>
      <c r="C623" s="7" t="n">
        <v>30</v>
      </c>
      <c r="AB623" s="7" t="n">
        <v>100</v>
      </c>
      <c r="AD623" s="7" t="n">
        <v>90</v>
      </c>
    </row>
    <row r="624" customFormat="false" ht="15" hidden="false" customHeight="false" outlineLevel="0" collapsed="false">
      <c r="B624" s="8" t="s">
        <v>659</v>
      </c>
      <c r="C624" s="7" t="n">
        <v>20</v>
      </c>
      <c r="AB624" s="7" t="n">
        <v>90</v>
      </c>
      <c r="AD624" s="7" t="n">
        <v>90</v>
      </c>
    </row>
    <row r="625" customFormat="false" ht="15" hidden="false" customHeight="false" outlineLevel="0" collapsed="false">
      <c r="B625" s="8" t="s">
        <v>660</v>
      </c>
      <c r="C625" s="7" t="n">
        <v>0</v>
      </c>
      <c r="AB625" s="7" t="n">
        <v>90</v>
      </c>
      <c r="AD625" s="7" t="n">
        <v>90</v>
      </c>
    </row>
    <row r="626" customFormat="false" ht="15" hidden="false" customHeight="false" outlineLevel="0" collapsed="false">
      <c r="B626" s="8" t="s">
        <v>661</v>
      </c>
      <c r="C626" s="7" t="n">
        <v>15</v>
      </c>
      <c r="AB626" s="7" t="n">
        <v>90</v>
      </c>
      <c r="AD626" s="7" t="n">
        <v>90</v>
      </c>
    </row>
    <row r="627" customFormat="false" ht="15" hidden="false" customHeight="false" outlineLevel="0" collapsed="false">
      <c r="B627" s="8" t="s">
        <v>662</v>
      </c>
      <c r="C627" s="7" t="n">
        <v>40</v>
      </c>
      <c r="AB627" s="7" t="n">
        <v>90</v>
      </c>
      <c r="AD627" s="7" t="n">
        <v>100</v>
      </c>
    </row>
    <row r="628" customFormat="false" ht="15" hidden="false" customHeight="false" outlineLevel="0" collapsed="false">
      <c r="B628" s="8" t="s">
        <v>663</v>
      </c>
      <c r="C628" s="7" t="n">
        <v>60</v>
      </c>
      <c r="AB628" s="7" t="n">
        <v>90</v>
      </c>
      <c r="AD628" s="7" t="n">
        <v>100</v>
      </c>
    </row>
    <row r="629" customFormat="false" ht="15" hidden="false" customHeight="false" outlineLevel="0" collapsed="false">
      <c r="B629" s="8" t="s">
        <v>664</v>
      </c>
      <c r="C629" s="7" t="n">
        <v>100</v>
      </c>
      <c r="AB629" s="7" t="n">
        <v>100</v>
      </c>
      <c r="AD629" s="7" t="n">
        <v>100</v>
      </c>
    </row>
    <row r="630" customFormat="false" ht="15" hidden="false" customHeight="false" outlineLevel="0" collapsed="false">
      <c r="B630" s="8" t="s">
        <v>665</v>
      </c>
      <c r="C630" s="7" t="n">
        <v>100</v>
      </c>
      <c r="AB630" s="7" t="n">
        <v>100</v>
      </c>
      <c r="AD630" s="7" t="n">
        <v>100</v>
      </c>
    </row>
    <row r="631" customFormat="false" ht="15" hidden="false" customHeight="false" outlineLevel="0" collapsed="false">
      <c r="B631" s="8" t="s">
        <v>666</v>
      </c>
      <c r="C631" s="7" t="n">
        <v>100</v>
      </c>
      <c r="AB631" s="7" t="n">
        <v>100</v>
      </c>
      <c r="AD631" s="7" t="n">
        <v>90</v>
      </c>
    </row>
    <row r="632" customFormat="false" ht="15" hidden="false" customHeight="false" outlineLevel="0" collapsed="false">
      <c r="B632" s="8" t="s">
        <v>667</v>
      </c>
      <c r="C632" s="7" t="n">
        <v>100</v>
      </c>
      <c r="AB632" s="7" t="n">
        <v>100</v>
      </c>
      <c r="AD632" s="7" t="n">
        <v>90</v>
      </c>
    </row>
    <row r="633" customFormat="false" ht="15" hidden="false" customHeight="false" outlineLevel="0" collapsed="false">
      <c r="B633" s="8" t="s">
        <v>668</v>
      </c>
      <c r="C633" s="7" t="n">
        <v>100</v>
      </c>
      <c r="AB633" s="7" t="n">
        <v>90</v>
      </c>
      <c r="AD633" s="7" t="n">
        <v>90</v>
      </c>
    </row>
    <row r="634" customFormat="false" ht="15" hidden="false" customHeight="false" outlineLevel="0" collapsed="false">
      <c r="B634" s="8" t="s">
        <v>669</v>
      </c>
      <c r="C634" s="7" t="n">
        <v>100</v>
      </c>
      <c r="AB634" s="7" t="n">
        <v>90</v>
      </c>
      <c r="AD634" s="7" t="n">
        <v>90</v>
      </c>
    </row>
    <row r="635" customFormat="false" ht="15" hidden="false" customHeight="false" outlineLevel="0" collapsed="false">
      <c r="B635" s="8" t="s">
        <v>670</v>
      </c>
      <c r="C635" s="7" t="n">
        <v>100</v>
      </c>
      <c r="AB635" s="7" t="n">
        <v>90</v>
      </c>
      <c r="AD635" s="7"/>
    </row>
    <row r="636" customFormat="false" ht="15" hidden="false" customHeight="false" outlineLevel="0" collapsed="false">
      <c r="B636" s="8" t="s">
        <v>671</v>
      </c>
      <c r="C636" s="7" t="n">
        <v>100</v>
      </c>
      <c r="AB636" s="7" t="n">
        <v>90</v>
      </c>
      <c r="AD636" s="7" t="n">
        <v>40</v>
      </c>
    </row>
    <row r="637" customFormat="false" ht="15" hidden="false" customHeight="false" outlineLevel="0" collapsed="false">
      <c r="B637" s="8" t="s">
        <v>672</v>
      </c>
      <c r="C637" s="7" t="n">
        <v>100</v>
      </c>
      <c r="AB637" s="7" t="n">
        <v>90</v>
      </c>
      <c r="AD637" s="7" t="n">
        <v>60</v>
      </c>
    </row>
    <row r="638" customFormat="false" ht="15" hidden="false" customHeight="false" outlineLevel="0" collapsed="false">
      <c r="B638" s="8" t="s">
        <v>673</v>
      </c>
      <c r="C638" s="7" t="n">
        <v>100</v>
      </c>
      <c r="AB638" s="7" t="n">
        <v>40</v>
      </c>
      <c r="AD638" s="7" t="n">
        <v>50</v>
      </c>
    </row>
    <row r="639" customFormat="false" ht="15" hidden="false" customHeight="false" outlineLevel="0" collapsed="false">
      <c r="B639" s="8" t="s">
        <v>674</v>
      </c>
      <c r="C639" s="7" t="n">
        <v>0</v>
      </c>
      <c r="AB639" s="7" t="n">
        <v>60</v>
      </c>
      <c r="AD639" s="7" t="n">
        <v>50</v>
      </c>
    </row>
    <row r="640" customFormat="false" ht="15" hidden="false" customHeight="false" outlineLevel="0" collapsed="false">
      <c r="B640" s="10" t="s">
        <v>675</v>
      </c>
      <c r="C640" s="7" t="n">
        <v>60</v>
      </c>
      <c r="AB640" s="7" t="n">
        <v>50</v>
      </c>
      <c r="AD640" s="7" t="n">
        <v>40</v>
      </c>
    </row>
    <row r="641" customFormat="false" ht="15" hidden="false" customHeight="false" outlineLevel="0" collapsed="false">
      <c r="B641" s="10" t="s">
        <v>676</v>
      </c>
      <c r="C641" s="7" t="n">
        <v>0</v>
      </c>
      <c r="AB641" s="7" t="n">
        <v>50</v>
      </c>
      <c r="AD641" s="7" t="n">
        <v>30</v>
      </c>
    </row>
    <row r="642" customFormat="false" ht="15" hidden="false" customHeight="false" outlineLevel="0" collapsed="false">
      <c r="B642" s="8" t="s">
        <v>677</v>
      </c>
      <c r="C642" s="7" t="n">
        <v>40</v>
      </c>
      <c r="AB642" s="7" t="n">
        <v>40</v>
      </c>
      <c r="AD642" s="7" t="n">
        <v>15</v>
      </c>
    </row>
    <row r="643" customFormat="false" ht="15" hidden="false" customHeight="false" outlineLevel="0" collapsed="false">
      <c r="B643" s="8" t="s">
        <v>678</v>
      </c>
      <c r="C643" s="7" t="n">
        <v>100</v>
      </c>
      <c r="AB643" s="7" t="n">
        <v>30</v>
      </c>
      <c r="AD643" s="7" t="n">
        <v>30</v>
      </c>
    </row>
    <row r="644" customFormat="false" ht="15" hidden="false" customHeight="false" outlineLevel="0" collapsed="false">
      <c r="B644" s="8" t="s">
        <v>679</v>
      </c>
      <c r="C644" s="7" t="n">
        <v>100</v>
      </c>
      <c r="AB644" s="7" t="n">
        <v>15</v>
      </c>
      <c r="AD644" s="7" t="n">
        <v>0</v>
      </c>
    </row>
    <row r="645" customFormat="false" ht="15" hidden="false" customHeight="false" outlineLevel="0" collapsed="false">
      <c r="B645" s="8" t="s">
        <v>680</v>
      </c>
      <c r="C645" s="7" t="n">
        <v>90</v>
      </c>
      <c r="AB645" s="7" t="n">
        <v>0</v>
      </c>
      <c r="AD645" s="7"/>
    </row>
    <row r="646" customFormat="false" ht="15" hidden="false" customHeight="false" outlineLevel="0" collapsed="false">
      <c r="B646" s="8" t="s">
        <v>681</v>
      </c>
      <c r="C646" s="7" t="n">
        <v>90</v>
      </c>
      <c r="AB646" s="7" t="n">
        <v>50</v>
      </c>
      <c r="AD646" s="7" t="n">
        <v>90</v>
      </c>
    </row>
    <row r="647" customFormat="false" ht="15" hidden="false" customHeight="false" outlineLevel="0" collapsed="false">
      <c r="B647" s="8" t="s">
        <v>682</v>
      </c>
      <c r="C647" s="7" t="n">
        <v>90</v>
      </c>
      <c r="AB647" s="7" t="n">
        <v>90</v>
      </c>
      <c r="AD647" s="7" t="n">
        <v>90</v>
      </c>
    </row>
    <row r="648" customFormat="false" ht="15" hidden="false" customHeight="false" outlineLevel="0" collapsed="false">
      <c r="B648" s="8" t="s">
        <v>683</v>
      </c>
      <c r="C648" s="7" t="n">
        <v>90</v>
      </c>
      <c r="AB648" s="7" t="n">
        <v>90</v>
      </c>
      <c r="AD648" s="7" t="n">
        <v>90</v>
      </c>
    </row>
    <row r="649" customFormat="false" ht="15" hidden="false" customHeight="false" outlineLevel="0" collapsed="false">
      <c r="B649" s="8" t="s">
        <v>684</v>
      </c>
      <c r="C649" s="7" t="n">
        <v>90</v>
      </c>
      <c r="AB649" s="7" t="n">
        <v>90</v>
      </c>
      <c r="AD649" s="7" t="n">
        <v>100</v>
      </c>
    </row>
    <row r="650" customFormat="false" ht="15" hidden="false" customHeight="false" outlineLevel="0" collapsed="false">
      <c r="B650" s="8" t="s">
        <v>685</v>
      </c>
      <c r="C650" s="7" t="n">
        <v>100</v>
      </c>
      <c r="AB650" s="7" t="n">
        <v>90</v>
      </c>
      <c r="AD650" s="7" t="n">
        <v>90</v>
      </c>
    </row>
    <row r="651" customFormat="false" ht="15" hidden="false" customHeight="false" outlineLevel="0" collapsed="false">
      <c r="B651" s="8" t="s">
        <v>686</v>
      </c>
      <c r="C651" s="7" t="n">
        <v>100</v>
      </c>
      <c r="AB651" s="7" t="n">
        <v>100</v>
      </c>
      <c r="AD651" s="7" t="n">
        <v>90</v>
      </c>
    </row>
    <row r="652" customFormat="false" ht="15" hidden="false" customHeight="false" outlineLevel="0" collapsed="false">
      <c r="B652" s="8" t="s">
        <v>687</v>
      </c>
      <c r="C652" s="7" t="n">
        <v>100</v>
      </c>
      <c r="AB652" s="7" t="n">
        <v>90</v>
      </c>
      <c r="AD652" s="7" t="n">
        <v>90</v>
      </c>
    </row>
    <row r="653" customFormat="false" ht="15" hidden="false" customHeight="false" outlineLevel="0" collapsed="false">
      <c r="B653" s="8" t="s">
        <v>688</v>
      </c>
      <c r="C653" s="7" t="n">
        <v>100</v>
      </c>
      <c r="AB653" s="7" t="n">
        <v>90</v>
      </c>
      <c r="AD653" s="7" t="n">
        <v>90</v>
      </c>
    </row>
    <row r="654" customFormat="false" ht="15" hidden="false" customHeight="false" outlineLevel="0" collapsed="false">
      <c r="B654" s="8" t="s">
        <v>689</v>
      </c>
      <c r="C654" s="7" t="n">
        <v>90</v>
      </c>
      <c r="AB654" s="7" t="n">
        <v>90</v>
      </c>
      <c r="AD654" s="7" t="n">
        <v>90</v>
      </c>
    </row>
    <row r="655" customFormat="false" ht="15" hidden="false" customHeight="false" outlineLevel="0" collapsed="false">
      <c r="B655" s="8" t="s">
        <v>690</v>
      </c>
      <c r="C655" s="7" t="n">
        <v>90</v>
      </c>
      <c r="AB655" s="7" t="n">
        <v>90</v>
      </c>
      <c r="AD655" s="7" t="n">
        <v>40</v>
      </c>
    </row>
    <row r="656" customFormat="false" ht="15" hidden="false" customHeight="false" outlineLevel="0" collapsed="false">
      <c r="B656" s="8" t="s">
        <v>691</v>
      </c>
      <c r="C656" s="7" t="n">
        <v>90</v>
      </c>
      <c r="AB656" s="7" t="n">
        <v>90</v>
      </c>
      <c r="AD656" s="7" t="n">
        <v>260</v>
      </c>
    </row>
    <row r="657" customFormat="false" ht="15" hidden="false" customHeight="false" outlineLevel="0" collapsed="false">
      <c r="B657" s="8" t="s">
        <v>692</v>
      </c>
      <c r="C657" s="7" t="n">
        <v>90</v>
      </c>
      <c r="AB657" s="7" t="n">
        <v>40</v>
      </c>
      <c r="AD657" s="7" t="n">
        <v>260</v>
      </c>
    </row>
    <row r="658" customFormat="false" ht="15" hidden="false" customHeight="false" outlineLevel="0" collapsed="false">
      <c r="B658" s="8" t="s">
        <v>693</v>
      </c>
      <c r="C658" s="7" t="n">
        <v>90</v>
      </c>
      <c r="AB658" s="7" t="n">
        <v>260</v>
      </c>
      <c r="AD658" s="7"/>
    </row>
    <row r="659" customFormat="false" ht="15" hidden="false" customHeight="false" outlineLevel="0" collapsed="false">
      <c r="B659" s="8" t="s">
        <v>694</v>
      </c>
      <c r="C659" s="7" t="n">
        <v>120</v>
      </c>
      <c r="AB659" s="7" t="n">
        <v>50</v>
      </c>
      <c r="AD659" s="7"/>
    </row>
    <row r="660" customFormat="false" ht="15" hidden="false" customHeight="false" outlineLevel="0" collapsed="false">
      <c r="B660" s="8" t="s">
        <v>695</v>
      </c>
      <c r="C660" s="7" t="n">
        <v>40</v>
      </c>
      <c r="AB660" s="7" t="n">
        <v>60</v>
      </c>
      <c r="AD660" s="7"/>
    </row>
    <row r="661" customFormat="false" ht="15" hidden="false" customHeight="false" outlineLevel="0" collapsed="false">
      <c r="B661" s="8" t="s">
        <v>696</v>
      </c>
      <c r="C661" s="7" t="n">
        <v>60</v>
      </c>
      <c r="AB661" s="7" t="n">
        <v>50</v>
      </c>
      <c r="AD661" s="7"/>
    </row>
    <row r="662" customFormat="false" ht="15" hidden="false" customHeight="false" outlineLevel="0" collapsed="false">
      <c r="B662" s="8" t="s">
        <v>697</v>
      </c>
      <c r="C662" s="7" t="n">
        <v>50</v>
      </c>
      <c r="AB662" s="7" t="n">
        <v>50</v>
      </c>
      <c r="AD662" s="7" t="n">
        <v>70</v>
      </c>
    </row>
    <row r="663" customFormat="false" ht="15" hidden="false" customHeight="false" outlineLevel="0" collapsed="false">
      <c r="B663" s="8" t="s">
        <v>698</v>
      </c>
      <c r="C663" s="7" t="n">
        <v>50</v>
      </c>
      <c r="AB663" s="7" t="n">
        <v>0</v>
      </c>
      <c r="AD663" s="7" t="n">
        <v>65</v>
      </c>
    </row>
    <row r="664" customFormat="false" ht="15" hidden="false" customHeight="false" outlineLevel="0" collapsed="false">
      <c r="B664" s="8" t="s">
        <v>699</v>
      </c>
      <c r="C664" s="7" t="n">
        <v>40</v>
      </c>
      <c r="AB664" s="7" t="n">
        <v>70</v>
      </c>
      <c r="AD664" s="7" t="n">
        <v>20</v>
      </c>
    </row>
    <row r="665" customFormat="false" ht="15" hidden="false" customHeight="false" outlineLevel="0" collapsed="false">
      <c r="B665" s="8" t="s">
        <v>700</v>
      </c>
      <c r="C665" s="7" t="n">
        <v>30</v>
      </c>
      <c r="AB665" s="7" t="n">
        <v>65</v>
      </c>
      <c r="AD665" s="7" t="n">
        <v>20</v>
      </c>
    </row>
    <row r="666" customFormat="false" ht="15" hidden="false" customHeight="false" outlineLevel="0" collapsed="false">
      <c r="B666" s="8" t="s">
        <v>701</v>
      </c>
      <c r="C666" s="7" t="n">
        <v>15</v>
      </c>
      <c r="AB666" s="7" t="n">
        <v>20</v>
      </c>
      <c r="AD666" s="7" t="n">
        <v>35</v>
      </c>
    </row>
    <row r="667" customFormat="false" ht="15" hidden="false" customHeight="false" outlineLevel="0" collapsed="false">
      <c r="B667" s="8" t="s">
        <v>702</v>
      </c>
      <c r="C667" s="7" t="n">
        <v>0</v>
      </c>
      <c r="AB667" s="7" t="n">
        <v>20</v>
      </c>
      <c r="AD667" s="7" t="n">
        <v>40</v>
      </c>
    </row>
    <row r="668" customFormat="false" ht="15" hidden="false" customHeight="false" outlineLevel="0" collapsed="false">
      <c r="B668" s="8" t="s">
        <v>703</v>
      </c>
      <c r="C668" s="7" t="n">
        <v>50</v>
      </c>
      <c r="AB668" s="7" t="n">
        <v>35</v>
      </c>
      <c r="AD668" s="7" t="n">
        <v>40</v>
      </c>
    </row>
    <row r="669" customFormat="false" ht="15" hidden="false" customHeight="false" outlineLevel="0" collapsed="false">
      <c r="B669" s="8" t="s">
        <v>704</v>
      </c>
      <c r="C669" s="7" t="n">
        <v>90</v>
      </c>
      <c r="AB669" s="7" t="n">
        <v>40</v>
      </c>
      <c r="AD669" s="7" t="n">
        <v>40</v>
      </c>
    </row>
    <row r="670" customFormat="false" ht="15" hidden="false" customHeight="false" outlineLevel="0" collapsed="false">
      <c r="B670" s="8" t="s">
        <v>705</v>
      </c>
      <c r="C670" s="7" t="n">
        <v>90</v>
      </c>
      <c r="AB670" s="7" t="n">
        <v>40</v>
      </c>
      <c r="AD670" s="7" t="n">
        <v>50</v>
      </c>
    </row>
    <row r="671" customFormat="false" ht="15" hidden="false" customHeight="false" outlineLevel="0" collapsed="false">
      <c r="B671" s="8" t="s">
        <v>706</v>
      </c>
      <c r="C671" s="7" t="n">
        <v>90</v>
      </c>
      <c r="AB671" s="7" t="n">
        <v>40</v>
      </c>
      <c r="AD671" s="7" t="n">
        <v>55</v>
      </c>
    </row>
    <row r="672" customFormat="false" ht="15" hidden="false" customHeight="false" outlineLevel="0" collapsed="false">
      <c r="B672" s="8" t="s">
        <v>707</v>
      </c>
      <c r="C672" s="7" t="n">
        <v>90</v>
      </c>
      <c r="AB672" s="7" t="n">
        <v>50</v>
      </c>
      <c r="AD672" s="7" t="n">
        <v>60</v>
      </c>
    </row>
    <row r="673" customFormat="false" ht="15" hidden="false" customHeight="false" outlineLevel="0" collapsed="false">
      <c r="B673" s="8" t="s">
        <v>708</v>
      </c>
      <c r="C673" s="7" t="n">
        <v>100</v>
      </c>
      <c r="AB673" s="7" t="n">
        <v>55</v>
      </c>
      <c r="AD673" s="7" t="n">
        <v>35</v>
      </c>
    </row>
    <row r="674" customFormat="false" ht="15" hidden="false" customHeight="false" outlineLevel="0" collapsed="false">
      <c r="B674" s="8" t="s">
        <v>709</v>
      </c>
      <c r="C674" s="7" t="n">
        <v>90</v>
      </c>
      <c r="AB674" s="7" t="n">
        <v>60</v>
      </c>
      <c r="AD674" s="7" t="n">
        <v>40</v>
      </c>
    </row>
    <row r="675" customFormat="false" ht="15" hidden="false" customHeight="false" outlineLevel="0" collapsed="false">
      <c r="B675" s="8" t="s">
        <v>710</v>
      </c>
      <c r="C675" s="7" t="n">
        <v>90</v>
      </c>
      <c r="AB675" s="7" t="n">
        <v>35</v>
      </c>
      <c r="AD675" s="7" t="n">
        <v>0</v>
      </c>
    </row>
    <row r="676" customFormat="false" ht="15" hidden="false" customHeight="false" outlineLevel="0" collapsed="false">
      <c r="B676" s="8" t="s">
        <v>711</v>
      </c>
      <c r="C676" s="7" t="n">
        <v>90</v>
      </c>
      <c r="AB676" s="7" t="n">
        <v>40</v>
      </c>
      <c r="AD676" s="7" t="n">
        <v>35</v>
      </c>
    </row>
    <row r="677" customFormat="false" ht="15" hidden="false" customHeight="false" outlineLevel="0" collapsed="false">
      <c r="B677" s="8" t="s">
        <v>712</v>
      </c>
      <c r="C677" s="7" t="n">
        <v>90</v>
      </c>
      <c r="AB677" s="7" t="n">
        <v>0</v>
      </c>
      <c r="AD677" s="7" t="n">
        <v>30</v>
      </c>
    </row>
    <row r="678" customFormat="false" ht="15" hidden="false" customHeight="false" outlineLevel="0" collapsed="false">
      <c r="B678" s="8" t="s">
        <v>713</v>
      </c>
      <c r="C678" s="7" t="n">
        <v>90</v>
      </c>
      <c r="AB678" s="7" t="n">
        <v>35</v>
      </c>
      <c r="AD678" s="7" t="n">
        <v>30</v>
      </c>
    </row>
    <row r="679" customFormat="false" ht="15" hidden="false" customHeight="false" outlineLevel="0" collapsed="false">
      <c r="B679" s="8" t="s">
        <v>714</v>
      </c>
      <c r="C679" s="7" t="n">
        <v>60</v>
      </c>
      <c r="AB679" s="7" t="n">
        <v>30</v>
      </c>
      <c r="AD679" s="7" t="n">
        <v>0</v>
      </c>
    </row>
    <row r="680" customFormat="false" ht="15" hidden="false" customHeight="false" outlineLevel="0" collapsed="false">
      <c r="B680" s="10" t="s">
        <v>715</v>
      </c>
      <c r="C680" s="7" t="n">
        <v>60</v>
      </c>
      <c r="AB680" s="7" t="n">
        <v>30</v>
      </c>
      <c r="AD680" s="7" t="n">
        <v>20</v>
      </c>
    </row>
    <row r="681" customFormat="false" ht="15" hidden="false" customHeight="false" outlineLevel="0" collapsed="false">
      <c r="B681" s="8" t="s">
        <v>716</v>
      </c>
      <c r="C681" s="7" t="n">
        <v>0</v>
      </c>
      <c r="AB681" s="7" t="n">
        <v>0</v>
      </c>
      <c r="AD681" s="7" t="n">
        <v>25</v>
      </c>
    </row>
    <row r="682" customFormat="false" ht="15" hidden="false" customHeight="false" outlineLevel="0" collapsed="false">
      <c r="B682" s="8" t="s">
        <v>717</v>
      </c>
      <c r="C682" s="7" t="n">
        <v>40</v>
      </c>
      <c r="AB682" s="7" t="n">
        <v>20</v>
      </c>
      <c r="AD682" s="7" t="n">
        <v>35</v>
      </c>
    </row>
    <row r="683" customFormat="false" ht="15" hidden="false" customHeight="false" outlineLevel="0" collapsed="false">
      <c r="B683" s="8" t="s">
        <v>718</v>
      </c>
      <c r="C683" s="7" t="n">
        <v>260</v>
      </c>
      <c r="AB683" s="7" t="n">
        <v>25</v>
      </c>
      <c r="AD683" s="7" t="n">
        <v>40</v>
      </c>
    </row>
    <row r="684" customFormat="false" ht="15" hidden="false" customHeight="false" outlineLevel="0" collapsed="false">
      <c r="B684" s="8" t="s">
        <v>719</v>
      </c>
      <c r="C684" s="7" t="n">
        <v>60</v>
      </c>
      <c r="AB684" s="7" t="n">
        <v>35</v>
      </c>
      <c r="AD684" s="7" t="n">
        <v>0</v>
      </c>
    </row>
    <row r="685" customFormat="false" ht="15" hidden="false" customHeight="false" outlineLevel="0" collapsed="false">
      <c r="B685" s="8" t="s">
        <v>720</v>
      </c>
      <c r="C685" s="7" t="n">
        <v>60</v>
      </c>
      <c r="AB685" s="7" t="n">
        <v>40</v>
      </c>
      <c r="AD685" s="7" t="n">
        <v>35</v>
      </c>
    </row>
    <row r="686" customFormat="false" ht="15" hidden="false" customHeight="false" outlineLevel="0" collapsed="false">
      <c r="B686" s="8" t="s">
        <v>721</v>
      </c>
      <c r="C686" s="7" t="n">
        <v>50</v>
      </c>
      <c r="AB686" s="7" t="n">
        <v>0</v>
      </c>
      <c r="AD686" s="7" t="n">
        <v>0</v>
      </c>
    </row>
    <row r="687" customFormat="false" ht="15" hidden="false" customHeight="false" outlineLevel="0" collapsed="false">
      <c r="B687" s="10" t="s">
        <v>722</v>
      </c>
      <c r="C687" s="7" t="n">
        <v>0</v>
      </c>
      <c r="AB687" s="7" t="n">
        <v>35</v>
      </c>
      <c r="AD687" s="7" t="n">
        <v>30</v>
      </c>
    </row>
    <row r="688" customFormat="false" ht="15" hidden="false" customHeight="false" outlineLevel="0" collapsed="false">
      <c r="B688" s="8" t="s">
        <v>723</v>
      </c>
      <c r="C688" s="7" t="n">
        <v>60</v>
      </c>
      <c r="AB688" s="7" t="n">
        <v>0</v>
      </c>
      <c r="AD688" s="7" t="n">
        <v>50</v>
      </c>
    </row>
    <row r="689" customFormat="false" ht="15" hidden="false" customHeight="false" outlineLevel="0" collapsed="false">
      <c r="B689" s="8" t="s">
        <v>724</v>
      </c>
      <c r="C689" s="7" t="n">
        <v>50</v>
      </c>
      <c r="AB689" s="7" t="n">
        <v>30</v>
      </c>
      <c r="AD689" s="7" t="n">
        <v>110</v>
      </c>
    </row>
    <row r="690" customFormat="false" ht="15" hidden="false" customHeight="false" outlineLevel="0" collapsed="false">
      <c r="B690" s="8" t="s">
        <v>725</v>
      </c>
      <c r="C690" s="7" t="n">
        <v>50</v>
      </c>
      <c r="AB690" s="7" t="n">
        <v>50</v>
      </c>
      <c r="AD690" s="7" t="n">
        <v>20</v>
      </c>
    </row>
    <row r="691" customFormat="false" ht="15" hidden="false" customHeight="false" outlineLevel="0" collapsed="false">
      <c r="B691" s="8" t="s">
        <v>726</v>
      </c>
      <c r="C691" s="7" t="n">
        <v>0</v>
      </c>
      <c r="AB691" s="7" t="n">
        <v>110</v>
      </c>
      <c r="AD691" s="7" t="n">
        <v>0</v>
      </c>
    </row>
    <row r="692" customFormat="false" ht="15" hidden="false" customHeight="false" outlineLevel="0" collapsed="false">
      <c r="B692" s="8" t="s">
        <v>727</v>
      </c>
      <c r="C692" s="7" t="n">
        <v>60</v>
      </c>
      <c r="AB692" s="7" t="n">
        <v>20</v>
      </c>
      <c r="AD692" s="7" t="n">
        <v>30</v>
      </c>
    </row>
    <row r="693" customFormat="false" ht="15" hidden="false" customHeight="false" outlineLevel="0" collapsed="false">
      <c r="B693" s="8" t="s">
        <v>728</v>
      </c>
      <c r="C693" s="7" t="n">
        <v>60</v>
      </c>
      <c r="AB693" s="7" t="n">
        <v>0</v>
      </c>
      <c r="AD693" s="7" t="n">
        <v>20</v>
      </c>
    </row>
    <row r="694" customFormat="false" ht="15" hidden="false" customHeight="false" outlineLevel="0" collapsed="false">
      <c r="B694" s="8" t="s">
        <v>729</v>
      </c>
      <c r="C694" s="7" t="n">
        <v>60</v>
      </c>
      <c r="AB694" s="7" t="n">
        <v>30</v>
      </c>
      <c r="AD694" s="7" t="n">
        <v>80</v>
      </c>
    </row>
    <row r="695" customFormat="false" ht="15" hidden="false" customHeight="false" outlineLevel="0" collapsed="false">
      <c r="B695" s="8" t="s">
        <v>730</v>
      </c>
      <c r="C695" s="7" t="n">
        <v>70</v>
      </c>
      <c r="AB695" s="7" t="n">
        <v>20</v>
      </c>
      <c r="AD695" s="7" t="n">
        <v>80</v>
      </c>
    </row>
    <row r="696" customFormat="false" ht="15" hidden="false" customHeight="false" outlineLevel="0" collapsed="false">
      <c r="B696" s="8" t="s">
        <v>731</v>
      </c>
      <c r="C696" s="7" t="n">
        <v>65</v>
      </c>
      <c r="AB696" s="7" t="n">
        <v>80</v>
      </c>
      <c r="AD696" s="7" t="n">
        <v>80</v>
      </c>
    </row>
    <row r="697" customFormat="false" ht="15" hidden="false" customHeight="false" outlineLevel="0" collapsed="false">
      <c r="B697" s="8" t="s">
        <v>732</v>
      </c>
      <c r="C697" s="7" t="n">
        <v>20</v>
      </c>
      <c r="AB697" s="7" t="n">
        <v>80</v>
      </c>
      <c r="AD697" s="7" t="n">
        <v>80</v>
      </c>
    </row>
    <row r="698" customFormat="false" ht="15" hidden="false" customHeight="false" outlineLevel="0" collapsed="false">
      <c r="B698" s="8" t="s">
        <v>733</v>
      </c>
      <c r="C698" s="7" t="n">
        <v>20</v>
      </c>
      <c r="AB698" s="7" t="n">
        <v>80</v>
      </c>
      <c r="AD698" s="7" t="n">
        <v>80</v>
      </c>
    </row>
    <row r="699" customFormat="false" ht="15" hidden="false" customHeight="false" outlineLevel="0" collapsed="false">
      <c r="B699" s="8" t="s">
        <v>734</v>
      </c>
      <c r="C699" s="7" t="n">
        <v>35</v>
      </c>
      <c r="AB699" s="7" t="n">
        <v>80</v>
      </c>
      <c r="AD699" s="7" t="n">
        <v>30</v>
      </c>
    </row>
    <row r="700" customFormat="false" ht="15" hidden="false" customHeight="false" outlineLevel="0" collapsed="false">
      <c r="B700" s="8" t="s">
        <v>735</v>
      </c>
      <c r="C700" s="7" t="n">
        <v>40</v>
      </c>
      <c r="AB700" s="7" t="n">
        <v>80</v>
      </c>
      <c r="AD700" s="7" t="n">
        <v>40</v>
      </c>
    </row>
    <row r="701" customFormat="false" ht="15" hidden="false" customHeight="false" outlineLevel="0" collapsed="false">
      <c r="B701" s="8" t="s">
        <v>736</v>
      </c>
      <c r="C701" s="7" t="n">
        <v>40</v>
      </c>
      <c r="AB701" s="7" t="n">
        <v>30</v>
      </c>
      <c r="AD701" s="7" t="n">
        <v>20</v>
      </c>
    </row>
    <row r="702" customFormat="false" ht="15" hidden="false" customHeight="false" outlineLevel="0" collapsed="false">
      <c r="B702" s="8" t="s">
        <v>737</v>
      </c>
      <c r="C702" s="7" t="n">
        <v>40</v>
      </c>
      <c r="AB702" s="7" t="n">
        <v>40</v>
      </c>
      <c r="AD702" s="7" t="n">
        <v>30</v>
      </c>
    </row>
    <row r="703" customFormat="false" ht="15" hidden="false" customHeight="false" outlineLevel="0" collapsed="false">
      <c r="B703" s="8" t="s">
        <v>738</v>
      </c>
      <c r="C703" s="7" t="n">
        <v>50</v>
      </c>
      <c r="AB703" s="7" t="n">
        <v>20</v>
      </c>
      <c r="AD703" s="7" t="n">
        <v>45</v>
      </c>
    </row>
    <row r="704" customFormat="false" ht="15" hidden="false" customHeight="false" outlineLevel="0" collapsed="false">
      <c r="B704" s="8" t="s">
        <v>739</v>
      </c>
      <c r="C704" s="7" t="n">
        <v>55</v>
      </c>
      <c r="AB704" s="7" t="n">
        <v>30</v>
      </c>
      <c r="AD704" s="7" t="n">
        <v>45</v>
      </c>
    </row>
    <row r="705" customFormat="false" ht="15" hidden="false" customHeight="false" outlineLevel="0" collapsed="false">
      <c r="B705" s="8" t="s">
        <v>740</v>
      </c>
      <c r="C705" s="7" t="n">
        <v>60</v>
      </c>
      <c r="AB705" s="7" t="n">
        <v>45</v>
      </c>
      <c r="AD705" s="7" t="n">
        <v>20</v>
      </c>
    </row>
    <row r="706" customFormat="false" ht="15" hidden="false" customHeight="false" outlineLevel="0" collapsed="false">
      <c r="B706" s="8" t="s">
        <v>741</v>
      </c>
      <c r="C706" s="7" t="n">
        <v>35</v>
      </c>
      <c r="AB706" s="7" t="n">
        <v>45</v>
      </c>
      <c r="AD706" s="7" t="n">
        <v>0</v>
      </c>
    </row>
    <row r="707" customFormat="false" ht="15" hidden="false" customHeight="false" outlineLevel="0" collapsed="false">
      <c r="B707" s="8" t="s">
        <v>742</v>
      </c>
      <c r="C707" s="7" t="n">
        <v>40</v>
      </c>
      <c r="AB707" s="7" t="n">
        <v>20</v>
      </c>
      <c r="AD707" s="7" t="n">
        <v>20</v>
      </c>
    </row>
    <row r="708" customFormat="false" ht="15" hidden="false" customHeight="false" outlineLevel="0" collapsed="false">
      <c r="B708" s="8" t="s">
        <v>743</v>
      </c>
      <c r="C708" s="7" t="n">
        <v>0</v>
      </c>
      <c r="AB708" s="7" t="n">
        <v>0</v>
      </c>
      <c r="AD708" s="7" t="n">
        <v>25</v>
      </c>
    </row>
    <row r="709" customFormat="false" ht="15" hidden="false" customHeight="false" outlineLevel="0" collapsed="false">
      <c r="B709" s="8" t="s">
        <v>744</v>
      </c>
      <c r="C709" s="7" t="n">
        <v>35</v>
      </c>
      <c r="AB709" s="7" t="n">
        <v>20</v>
      </c>
      <c r="AD709" s="7" t="n">
        <v>30</v>
      </c>
    </row>
    <row r="710" customFormat="false" ht="15" hidden="false" customHeight="false" outlineLevel="0" collapsed="false">
      <c r="B710" s="8" t="s">
        <v>745</v>
      </c>
      <c r="C710" s="7" t="n">
        <v>30</v>
      </c>
      <c r="AB710" s="7" t="n">
        <v>25</v>
      </c>
      <c r="AD710" s="7" t="n">
        <v>20</v>
      </c>
    </row>
    <row r="711" customFormat="false" ht="15" hidden="false" customHeight="false" outlineLevel="0" collapsed="false">
      <c r="B711" s="8" t="s">
        <v>746</v>
      </c>
      <c r="C711" s="7" t="n">
        <v>30</v>
      </c>
      <c r="AB711" s="7" t="n">
        <v>30</v>
      </c>
      <c r="AD711" s="7" t="n">
        <v>30</v>
      </c>
    </row>
    <row r="712" customFormat="false" ht="15" hidden="false" customHeight="false" outlineLevel="0" collapsed="false">
      <c r="B712" s="8" t="s">
        <v>747</v>
      </c>
      <c r="C712" s="7" t="n">
        <v>0</v>
      </c>
      <c r="AB712" s="7" t="n">
        <v>20</v>
      </c>
      <c r="AD712" s="7" t="n">
        <v>20</v>
      </c>
    </row>
    <row r="713" customFormat="false" ht="15" hidden="false" customHeight="false" outlineLevel="0" collapsed="false">
      <c r="B713" s="8" t="s">
        <v>748</v>
      </c>
      <c r="C713" s="7" t="n">
        <v>20</v>
      </c>
      <c r="AB713" s="7" t="n">
        <v>30</v>
      </c>
      <c r="AD713" s="7" t="n">
        <v>20</v>
      </c>
    </row>
    <row r="714" customFormat="false" ht="15" hidden="false" customHeight="false" outlineLevel="0" collapsed="false">
      <c r="B714" s="8" t="s">
        <v>749</v>
      </c>
      <c r="C714" s="7" t="n">
        <v>25</v>
      </c>
      <c r="AB714" s="7" t="n">
        <v>20</v>
      </c>
      <c r="AD714" s="7" t="n">
        <v>40</v>
      </c>
    </row>
    <row r="715" customFormat="false" ht="15" hidden="false" customHeight="false" outlineLevel="0" collapsed="false">
      <c r="B715" s="8" t="s">
        <v>750</v>
      </c>
      <c r="C715" s="7" t="n">
        <v>35</v>
      </c>
      <c r="AB715" s="7" t="n">
        <v>20</v>
      </c>
      <c r="AD715" s="7" t="n">
        <v>100</v>
      </c>
    </row>
    <row r="716" customFormat="false" ht="15" hidden="false" customHeight="false" outlineLevel="0" collapsed="false">
      <c r="B716" s="8" t="s">
        <v>751</v>
      </c>
      <c r="C716" s="7" t="n">
        <v>40</v>
      </c>
      <c r="AB716" s="7" t="n">
        <v>40</v>
      </c>
      <c r="AD716" s="7" t="n">
        <v>30</v>
      </c>
    </row>
    <row r="717" customFormat="false" ht="15" hidden="false" customHeight="false" outlineLevel="0" collapsed="false">
      <c r="B717" s="8" t="s">
        <v>752</v>
      </c>
      <c r="C717" s="7" t="n">
        <v>0</v>
      </c>
      <c r="AB717" s="7" t="n">
        <v>100</v>
      </c>
      <c r="AD717" s="7" t="n">
        <v>0</v>
      </c>
    </row>
    <row r="718" customFormat="false" ht="15" hidden="false" customHeight="false" outlineLevel="0" collapsed="false">
      <c r="B718" s="8" t="s">
        <v>753</v>
      </c>
      <c r="C718" s="7" t="n">
        <v>35</v>
      </c>
      <c r="AB718" s="7" t="n">
        <v>30</v>
      </c>
      <c r="AD718" s="7" t="n">
        <v>20</v>
      </c>
    </row>
    <row r="719" customFormat="false" ht="15" hidden="false" customHeight="false" outlineLevel="0" collapsed="false">
      <c r="B719" s="8" t="s">
        <v>754</v>
      </c>
      <c r="C719" s="7" t="n">
        <v>0</v>
      </c>
      <c r="AB719" s="7" t="n">
        <v>0</v>
      </c>
      <c r="AD719" s="7" t="n">
        <v>50</v>
      </c>
    </row>
    <row r="720" customFormat="false" ht="15" hidden="false" customHeight="false" outlineLevel="0" collapsed="false">
      <c r="B720" s="8" t="s">
        <v>755</v>
      </c>
      <c r="C720" s="7" t="n">
        <v>30</v>
      </c>
      <c r="AB720" s="7" t="n">
        <v>20</v>
      </c>
      <c r="AD720" s="7" t="n">
        <v>80</v>
      </c>
    </row>
    <row r="721" customFormat="false" ht="15" hidden="false" customHeight="false" outlineLevel="0" collapsed="false">
      <c r="B721" s="8" t="s">
        <v>756</v>
      </c>
      <c r="C721" s="7" t="n">
        <v>50</v>
      </c>
      <c r="AB721" s="7" t="n">
        <v>50</v>
      </c>
      <c r="AD721" s="7" t="n">
        <v>80</v>
      </c>
    </row>
    <row r="722" customFormat="false" ht="15" hidden="false" customHeight="false" outlineLevel="0" collapsed="false">
      <c r="B722" s="8" t="s">
        <v>757</v>
      </c>
      <c r="C722" s="7" t="n">
        <v>110</v>
      </c>
      <c r="AB722" s="7" t="n">
        <v>80</v>
      </c>
      <c r="AD722" s="7" t="n">
        <v>80</v>
      </c>
    </row>
    <row r="723" customFormat="false" ht="15" hidden="false" customHeight="false" outlineLevel="0" collapsed="false">
      <c r="B723" s="8" t="s">
        <v>758</v>
      </c>
      <c r="C723" s="7" t="n">
        <v>20</v>
      </c>
      <c r="AB723" s="7" t="n">
        <v>80</v>
      </c>
      <c r="AD723" s="7" t="n">
        <v>80</v>
      </c>
    </row>
    <row r="724" customFormat="false" ht="15" hidden="false" customHeight="false" outlineLevel="0" collapsed="false">
      <c r="B724" s="8" t="s">
        <v>759</v>
      </c>
      <c r="C724" s="7" t="n">
        <v>0</v>
      </c>
      <c r="AB724" s="7" t="n">
        <v>80</v>
      </c>
      <c r="AD724" s="7" t="n">
        <v>80</v>
      </c>
    </row>
    <row r="725" customFormat="false" ht="15" hidden="false" customHeight="false" outlineLevel="0" collapsed="false">
      <c r="B725" s="8" t="s">
        <v>760</v>
      </c>
      <c r="C725" s="7" t="n">
        <v>30</v>
      </c>
      <c r="AB725" s="7" t="n">
        <v>80</v>
      </c>
      <c r="AD725" s="7" t="n">
        <v>30</v>
      </c>
    </row>
    <row r="726" customFormat="false" ht="15" hidden="false" customHeight="false" outlineLevel="0" collapsed="false">
      <c r="B726" s="8" t="s">
        <v>761</v>
      </c>
      <c r="C726" s="7" t="n">
        <v>20</v>
      </c>
      <c r="AB726" s="7" t="n">
        <v>80</v>
      </c>
      <c r="AD726" s="7" t="n">
        <v>40</v>
      </c>
    </row>
    <row r="727" customFormat="false" ht="15" hidden="false" customHeight="false" outlineLevel="0" collapsed="false">
      <c r="B727" s="8" t="s">
        <v>762</v>
      </c>
      <c r="C727" s="7" t="n">
        <v>80</v>
      </c>
      <c r="AB727" s="7" t="n">
        <v>30</v>
      </c>
      <c r="AD727" s="7" t="n">
        <v>20</v>
      </c>
    </row>
    <row r="728" customFormat="false" ht="15" hidden="false" customHeight="false" outlineLevel="0" collapsed="false">
      <c r="B728" s="8" t="s">
        <v>763</v>
      </c>
      <c r="C728" s="7" t="n">
        <v>80</v>
      </c>
      <c r="AB728" s="7" t="n">
        <v>40</v>
      </c>
      <c r="AD728" s="7" t="n">
        <v>30</v>
      </c>
    </row>
    <row r="729" customFormat="false" ht="15" hidden="false" customHeight="false" outlineLevel="0" collapsed="false">
      <c r="B729" s="8" t="s">
        <v>764</v>
      </c>
      <c r="C729" s="7" t="n">
        <v>80</v>
      </c>
      <c r="AB729" s="7" t="n">
        <v>20</v>
      </c>
      <c r="AD729" s="7" t="n">
        <v>45</v>
      </c>
    </row>
    <row r="730" customFormat="false" ht="15" hidden="false" customHeight="false" outlineLevel="0" collapsed="false">
      <c r="B730" s="8" t="s">
        <v>765</v>
      </c>
      <c r="C730" s="7" t="n">
        <v>80</v>
      </c>
      <c r="AB730" s="7" t="n">
        <v>30</v>
      </c>
      <c r="AD730" s="7" t="n">
        <v>45</v>
      </c>
    </row>
    <row r="731" customFormat="false" ht="15" hidden="false" customHeight="false" outlineLevel="0" collapsed="false">
      <c r="B731" s="8" t="s">
        <v>766</v>
      </c>
      <c r="C731" s="7" t="n">
        <v>80</v>
      </c>
      <c r="AB731" s="7" t="n">
        <v>45</v>
      </c>
      <c r="AD731" s="7" t="n">
        <v>25</v>
      </c>
    </row>
    <row r="732" customFormat="false" ht="15" hidden="false" customHeight="false" outlineLevel="0" collapsed="false">
      <c r="B732" s="8" t="s">
        <v>767</v>
      </c>
      <c r="C732" s="7" t="n">
        <v>30</v>
      </c>
      <c r="AB732" s="7" t="n">
        <v>45</v>
      </c>
      <c r="AD732" s="7" t="n">
        <v>20</v>
      </c>
    </row>
    <row r="733" customFormat="false" ht="15" hidden="false" customHeight="false" outlineLevel="0" collapsed="false">
      <c r="B733" s="8" t="s">
        <v>768</v>
      </c>
      <c r="C733" s="7" t="n">
        <v>40</v>
      </c>
      <c r="AB733" s="7" t="n">
        <v>25</v>
      </c>
      <c r="AD733" s="7" t="n">
        <v>0</v>
      </c>
    </row>
    <row r="734" customFormat="false" ht="15" hidden="false" customHeight="false" outlineLevel="0" collapsed="false">
      <c r="B734" s="8" t="s">
        <v>769</v>
      </c>
      <c r="C734" s="7" t="n">
        <v>20</v>
      </c>
      <c r="AB734" s="7" t="n">
        <v>20</v>
      </c>
      <c r="AD734" s="7" t="n">
        <v>25</v>
      </c>
    </row>
    <row r="735" customFormat="false" ht="15" hidden="false" customHeight="false" outlineLevel="0" collapsed="false">
      <c r="B735" s="8" t="s">
        <v>770</v>
      </c>
      <c r="C735" s="7" t="n">
        <v>30</v>
      </c>
      <c r="AB735" s="7" t="n">
        <v>0</v>
      </c>
      <c r="AD735" s="7" t="n">
        <v>30</v>
      </c>
    </row>
    <row r="736" customFormat="false" ht="15" hidden="false" customHeight="false" outlineLevel="0" collapsed="false">
      <c r="B736" s="8" t="s">
        <v>771</v>
      </c>
      <c r="C736" s="7" t="n">
        <v>45</v>
      </c>
      <c r="AB736" s="7" t="n">
        <v>25</v>
      </c>
      <c r="AD736" s="7" t="n">
        <v>25</v>
      </c>
    </row>
    <row r="737" customFormat="false" ht="15" hidden="false" customHeight="false" outlineLevel="0" collapsed="false">
      <c r="B737" s="8" t="s">
        <v>772</v>
      </c>
      <c r="C737" s="7" t="n">
        <v>45</v>
      </c>
      <c r="AB737" s="7" t="n">
        <v>30</v>
      </c>
      <c r="AD737" s="7" t="n">
        <v>30</v>
      </c>
    </row>
    <row r="738" customFormat="false" ht="15" hidden="false" customHeight="false" outlineLevel="0" collapsed="false">
      <c r="B738" s="8" t="s">
        <v>773</v>
      </c>
      <c r="C738" s="7" t="n">
        <v>20</v>
      </c>
      <c r="AB738" s="7" t="n">
        <v>25</v>
      </c>
      <c r="AD738" s="7" t="n">
        <v>20</v>
      </c>
    </row>
    <row r="739" customFormat="false" ht="15" hidden="false" customHeight="false" outlineLevel="0" collapsed="false">
      <c r="B739" s="8" t="s">
        <v>774</v>
      </c>
      <c r="C739" s="7" t="n">
        <v>0</v>
      </c>
      <c r="AB739" s="7" t="n">
        <v>30</v>
      </c>
      <c r="AD739" s="7" t="n">
        <v>20</v>
      </c>
    </row>
    <row r="740" customFormat="false" ht="15" hidden="false" customHeight="false" outlineLevel="0" collapsed="false">
      <c r="B740" s="8" t="s">
        <v>775</v>
      </c>
      <c r="C740" s="7" t="n">
        <v>20</v>
      </c>
      <c r="AB740" s="7" t="n">
        <v>20</v>
      </c>
      <c r="AD740" s="7" t="n">
        <v>40</v>
      </c>
    </row>
    <row r="741" customFormat="false" ht="15" hidden="false" customHeight="false" outlineLevel="0" collapsed="false">
      <c r="B741" s="8" t="s">
        <v>776</v>
      </c>
      <c r="C741" s="7" t="n">
        <v>25</v>
      </c>
      <c r="AB741" s="7" t="n">
        <v>20</v>
      </c>
      <c r="AD741" s="7" t="n">
        <v>100</v>
      </c>
    </row>
    <row r="742" customFormat="false" ht="15" hidden="false" customHeight="false" outlineLevel="0" collapsed="false">
      <c r="B742" s="8" t="s">
        <v>777</v>
      </c>
      <c r="C742" s="7" t="n">
        <v>30</v>
      </c>
      <c r="AB742" s="7" t="n">
        <v>40</v>
      </c>
      <c r="AD742" s="7" t="n">
        <v>30</v>
      </c>
    </row>
    <row r="743" customFormat="false" ht="15" hidden="false" customHeight="false" outlineLevel="0" collapsed="false">
      <c r="B743" s="8" t="s">
        <v>778</v>
      </c>
      <c r="C743" s="7" t="n">
        <v>20</v>
      </c>
      <c r="AB743" s="7" t="n">
        <v>100</v>
      </c>
      <c r="AD743" s="7" t="n">
        <v>30</v>
      </c>
    </row>
    <row r="744" customFormat="false" ht="15" hidden="false" customHeight="false" outlineLevel="0" collapsed="false">
      <c r="B744" s="8" t="s">
        <v>779</v>
      </c>
      <c r="C744" s="7" t="n">
        <v>30</v>
      </c>
      <c r="AB744" s="7" t="n">
        <v>30</v>
      </c>
      <c r="AD744" s="7" t="n">
        <v>25</v>
      </c>
    </row>
    <row r="745" customFormat="false" ht="15" hidden="false" customHeight="false" outlineLevel="0" collapsed="false">
      <c r="B745" s="8" t="s">
        <v>780</v>
      </c>
      <c r="C745" s="7" t="n">
        <v>20</v>
      </c>
      <c r="AB745" s="7" t="n">
        <v>30</v>
      </c>
      <c r="AD745" s="7" t="n">
        <v>30</v>
      </c>
    </row>
    <row r="746" customFormat="false" ht="15" hidden="false" customHeight="false" outlineLevel="0" collapsed="false">
      <c r="B746" s="8" t="s">
        <v>781</v>
      </c>
      <c r="C746" s="7" t="n">
        <v>20</v>
      </c>
      <c r="AB746" s="7" t="n">
        <v>25</v>
      </c>
      <c r="AD746" s="7" t="n">
        <v>80</v>
      </c>
    </row>
    <row r="747" customFormat="false" ht="15" hidden="false" customHeight="false" outlineLevel="0" collapsed="false">
      <c r="B747" s="8" t="s">
        <v>782</v>
      </c>
      <c r="C747" s="7" t="n">
        <v>40</v>
      </c>
      <c r="AB747" s="7" t="n">
        <v>30</v>
      </c>
      <c r="AD747" s="7" t="n">
        <v>80</v>
      </c>
    </row>
    <row r="748" customFormat="false" ht="15" hidden="false" customHeight="false" outlineLevel="0" collapsed="false">
      <c r="B748" s="8" t="s">
        <v>783</v>
      </c>
      <c r="C748" s="7" t="n">
        <v>100</v>
      </c>
      <c r="AB748" s="7" t="n">
        <v>80</v>
      </c>
      <c r="AD748" s="7" t="n">
        <v>80</v>
      </c>
    </row>
    <row r="749" customFormat="false" ht="15" hidden="false" customHeight="false" outlineLevel="0" collapsed="false">
      <c r="B749" s="8" t="s">
        <v>784</v>
      </c>
      <c r="C749" s="7" t="n">
        <v>30</v>
      </c>
      <c r="AB749" s="7" t="n">
        <v>80</v>
      </c>
      <c r="AD749" s="7" t="n">
        <v>80</v>
      </c>
    </row>
    <row r="750" customFormat="false" ht="15" hidden="false" customHeight="false" outlineLevel="0" collapsed="false">
      <c r="B750" s="8" t="s">
        <v>785</v>
      </c>
      <c r="C750" s="7" t="n">
        <v>0</v>
      </c>
      <c r="AB750" s="7" t="n">
        <v>80</v>
      </c>
      <c r="AD750" s="7" t="n">
        <v>80</v>
      </c>
    </row>
    <row r="751" customFormat="false" ht="15" hidden="false" customHeight="false" outlineLevel="0" collapsed="false">
      <c r="B751" s="8" t="s">
        <v>786</v>
      </c>
      <c r="C751" s="7" t="n">
        <v>20</v>
      </c>
      <c r="AB751" s="7" t="n">
        <v>80</v>
      </c>
      <c r="AD751" s="7" t="n">
        <v>0</v>
      </c>
    </row>
    <row r="752" customFormat="false" ht="15" hidden="false" customHeight="false" outlineLevel="0" collapsed="false">
      <c r="B752" s="8" t="s">
        <v>787</v>
      </c>
      <c r="C752" s="7" t="n">
        <v>50</v>
      </c>
      <c r="AB752" s="7" t="n">
        <v>80</v>
      </c>
      <c r="AD752" s="7" t="n">
        <v>40</v>
      </c>
    </row>
    <row r="753" customFormat="false" ht="15" hidden="false" customHeight="false" outlineLevel="0" collapsed="false">
      <c r="B753" s="8" t="s">
        <v>788</v>
      </c>
      <c r="C753" s="7" t="n">
        <v>80</v>
      </c>
      <c r="AB753" s="7" t="n">
        <v>0</v>
      </c>
      <c r="AD753" s="7" t="n">
        <v>35</v>
      </c>
    </row>
    <row r="754" customFormat="false" ht="15" hidden="false" customHeight="false" outlineLevel="0" collapsed="false">
      <c r="B754" s="8" t="s">
        <v>789</v>
      </c>
      <c r="C754" s="7" t="n">
        <v>80</v>
      </c>
      <c r="AB754" s="7" t="n">
        <v>40</v>
      </c>
      <c r="AD754" s="7" t="n">
        <v>15</v>
      </c>
    </row>
    <row r="755" customFormat="false" ht="15" hidden="false" customHeight="false" outlineLevel="0" collapsed="false">
      <c r="B755" s="8" t="s">
        <v>790</v>
      </c>
      <c r="C755" s="7" t="n">
        <v>80</v>
      </c>
      <c r="AB755" s="7" t="n">
        <v>35</v>
      </c>
      <c r="AD755" s="7"/>
    </row>
    <row r="756" customFormat="false" ht="15" hidden="false" customHeight="false" outlineLevel="0" collapsed="false">
      <c r="B756" s="8" t="s">
        <v>791</v>
      </c>
      <c r="C756" s="7" t="n">
        <v>80</v>
      </c>
      <c r="AB756" s="7" t="n">
        <v>15</v>
      </c>
      <c r="AD756" s="7" t="n">
        <v>50</v>
      </c>
    </row>
    <row r="757" customFormat="false" ht="15" hidden="false" customHeight="false" outlineLevel="0" collapsed="false">
      <c r="B757" s="8" t="s">
        <v>792</v>
      </c>
      <c r="C757" s="7" t="n">
        <v>80</v>
      </c>
      <c r="AB757" s="7" t="n">
        <v>60</v>
      </c>
      <c r="AD757" s="7" t="n">
        <v>50</v>
      </c>
    </row>
    <row r="758" customFormat="false" ht="15" hidden="false" customHeight="false" outlineLevel="0" collapsed="false">
      <c r="B758" s="8" t="s">
        <v>793</v>
      </c>
      <c r="C758" s="7" t="n">
        <v>30</v>
      </c>
      <c r="AB758" s="7" t="n">
        <v>50</v>
      </c>
      <c r="AD758" s="7" t="n">
        <v>30</v>
      </c>
    </row>
    <row r="759" customFormat="false" ht="15" hidden="false" customHeight="false" outlineLevel="0" collapsed="false">
      <c r="B759" s="8" t="s">
        <v>794</v>
      </c>
      <c r="C759" s="7" t="n">
        <v>40</v>
      </c>
      <c r="AB759" s="7" t="n">
        <v>50</v>
      </c>
      <c r="AD759" s="7" t="n">
        <v>25</v>
      </c>
    </row>
    <row r="760" customFormat="false" ht="15" hidden="false" customHeight="false" outlineLevel="0" collapsed="false">
      <c r="B760" s="8" t="s">
        <v>795</v>
      </c>
      <c r="C760" s="7" t="n">
        <v>20</v>
      </c>
      <c r="AB760" s="7" t="n">
        <v>30</v>
      </c>
      <c r="AD760" s="7" t="n">
        <v>25</v>
      </c>
    </row>
    <row r="761" customFormat="false" ht="15" hidden="false" customHeight="false" outlineLevel="0" collapsed="false">
      <c r="B761" s="8" t="s">
        <v>796</v>
      </c>
      <c r="C761" s="7" t="n">
        <v>30</v>
      </c>
      <c r="AB761" s="7" t="n">
        <v>25</v>
      </c>
      <c r="AD761" s="7" t="n">
        <v>0</v>
      </c>
    </row>
    <row r="762" customFormat="false" ht="15" hidden="false" customHeight="false" outlineLevel="0" collapsed="false">
      <c r="B762" s="8" t="s">
        <v>797</v>
      </c>
      <c r="C762" s="7" t="n">
        <v>45</v>
      </c>
      <c r="AB762" s="7" t="n">
        <v>25</v>
      </c>
      <c r="AD762" s="7" t="n">
        <v>25</v>
      </c>
    </row>
    <row r="763" customFormat="false" ht="15" hidden="false" customHeight="false" outlineLevel="0" collapsed="false">
      <c r="B763" s="8" t="s">
        <v>798</v>
      </c>
      <c r="C763" s="7" t="n">
        <v>45</v>
      </c>
      <c r="AB763" s="7" t="n">
        <v>0</v>
      </c>
      <c r="AD763" s="7" t="n">
        <v>30</v>
      </c>
    </row>
    <row r="764" customFormat="false" ht="15" hidden="false" customHeight="false" outlineLevel="0" collapsed="false">
      <c r="B764" s="8" t="s">
        <v>799</v>
      </c>
      <c r="C764" s="7" t="n">
        <v>25</v>
      </c>
      <c r="AB764" s="7" t="n">
        <v>25</v>
      </c>
      <c r="AD764" s="7" t="n">
        <v>0</v>
      </c>
    </row>
    <row r="765" customFormat="false" ht="15" hidden="false" customHeight="false" outlineLevel="0" collapsed="false">
      <c r="B765" s="8" t="s">
        <v>800</v>
      </c>
      <c r="C765" s="7" t="n">
        <v>20</v>
      </c>
      <c r="AB765" s="7" t="n">
        <v>30</v>
      </c>
      <c r="AD765" s="7" t="n">
        <v>30</v>
      </c>
    </row>
    <row r="766" customFormat="false" ht="15" hidden="false" customHeight="false" outlineLevel="0" collapsed="false">
      <c r="B766" s="8" t="s">
        <v>801</v>
      </c>
      <c r="C766" s="7" t="n">
        <v>0</v>
      </c>
      <c r="AB766" s="7" t="n">
        <v>0</v>
      </c>
      <c r="AD766" s="7" t="n">
        <v>20</v>
      </c>
    </row>
    <row r="767" customFormat="false" ht="15" hidden="false" customHeight="false" outlineLevel="0" collapsed="false">
      <c r="B767" s="8" t="s">
        <v>802</v>
      </c>
      <c r="C767" s="7" t="n">
        <v>25</v>
      </c>
      <c r="AB767" s="7" t="n">
        <v>30</v>
      </c>
      <c r="AD767" s="7" t="n">
        <v>40</v>
      </c>
    </row>
    <row r="768" customFormat="false" ht="15" hidden="false" customHeight="false" outlineLevel="0" collapsed="false">
      <c r="B768" s="8" t="s">
        <v>803</v>
      </c>
      <c r="C768" s="7" t="n">
        <v>30</v>
      </c>
      <c r="AB768" s="7" t="n">
        <v>20</v>
      </c>
      <c r="AD768" s="7" t="n">
        <v>90</v>
      </c>
    </row>
    <row r="769" customFormat="false" ht="15" hidden="false" customHeight="false" outlineLevel="0" collapsed="false">
      <c r="B769" s="8" t="s">
        <v>804</v>
      </c>
      <c r="C769" s="7" t="n">
        <v>25</v>
      </c>
      <c r="AB769" s="7" t="n">
        <v>40</v>
      </c>
      <c r="AD769" s="7" t="n">
        <v>40</v>
      </c>
    </row>
    <row r="770" customFormat="false" ht="15" hidden="false" customHeight="false" outlineLevel="0" collapsed="false">
      <c r="B770" s="8" t="s">
        <v>805</v>
      </c>
      <c r="C770" s="7" t="n">
        <v>30</v>
      </c>
      <c r="AB770" s="7" t="n">
        <v>90</v>
      </c>
      <c r="AD770" s="7" t="n">
        <v>30</v>
      </c>
    </row>
    <row r="771" customFormat="false" ht="15" hidden="false" customHeight="false" outlineLevel="0" collapsed="false">
      <c r="B771" s="8" t="s">
        <v>806</v>
      </c>
      <c r="C771" s="7" t="n">
        <v>20</v>
      </c>
      <c r="AB771" s="7" t="n">
        <v>40</v>
      </c>
      <c r="AD771" s="7" t="n">
        <v>30</v>
      </c>
    </row>
    <row r="772" customFormat="false" ht="15" hidden="false" customHeight="false" outlineLevel="0" collapsed="false">
      <c r="B772" s="8" t="s">
        <v>807</v>
      </c>
      <c r="C772" s="7" t="n">
        <v>20</v>
      </c>
      <c r="AB772" s="7" t="n">
        <v>30</v>
      </c>
      <c r="AD772" s="7" t="n">
        <v>40</v>
      </c>
    </row>
    <row r="773" customFormat="false" ht="15" hidden="false" customHeight="false" outlineLevel="0" collapsed="false">
      <c r="B773" s="8" t="s">
        <v>808</v>
      </c>
      <c r="C773" s="7" t="n">
        <v>40</v>
      </c>
      <c r="AB773" s="7" t="n">
        <v>30</v>
      </c>
      <c r="AD773" s="7" t="n">
        <v>30</v>
      </c>
    </row>
    <row r="774" customFormat="false" ht="15" hidden="false" customHeight="false" outlineLevel="0" collapsed="false">
      <c r="B774" s="8" t="s">
        <v>809</v>
      </c>
      <c r="C774" s="7" t="n">
        <v>100</v>
      </c>
      <c r="AB774" s="7" t="n">
        <v>40</v>
      </c>
      <c r="AD774" s="7" t="n">
        <v>80</v>
      </c>
    </row>
    <row r="775" customFormat="false" ht="15" hidden="false" customHeight="false" outlineLevel="0" collapsed="false">
      <c r="B775" s="8" t="s">
        <v>810</v>
      </c>
      <c r="C775" s="7" t="n">
        <v>30</v>
      </c>
      <c r="AB775" s="7" t="n">
        <v>30</v>
      </c>
      <c r="AD775" s="7" t="n">
        <v>80</v>
      </c>
    </row>
    <row r="776" customFormat="false" ht="15" hidden="false" customHeight="false" outlineLevel="0" collapsed="false">
      <c r="B776" s="8" t="s">
        <v>811</v>
      </c>
      <c r="C776" s="7" t="n">
        <v>30</v>
      </c>
      <c r="AB776" s="7" t="n">
        <v>80</v>
      </c>
      <c r="AD776" s="7" t="n">
        <v>80</v>
      </c>
    </row>
    <row r="777" customFormat="false" ht="15" hidden="false" customHeight="false" outlineLevel="0" collapsed="false">
      <c r="B777" s="8" t="s">
        <v>812</v>
      </c>
      <c r="C777" s="7" t="n">
        <v>25</v>
      </c>
      <c r="AB777" s="7" t="n">
        <v>80</v>
      </c>
      <c r="AD777" s="7" t="n">
        <v>80</v>
      </c>
    </row>
    <row r="778" customFormat="false" ht="15" hidden="false" customHeight="false" outlineLevel="0" collapsed="false">
      <c r="B778" s="8" t="s">
        <v>813</v>
      </c>
      <c r="C778" s="7" t="n">
        <v>30</v>
      </c>
      <c r="AB778" s="7" t="n">
        <v>80</v>
      </c>
      <c r="AD778" s="7" t="n">
        <v>30</v>
      </c>
    </row>
    <row r="779" customFormat="false" ht="15" hidden="false" customHeight="false" outlineLevel="0" collapsed="false">
      <c r="B779" s="8" t="s">
        <v>814</v>
      </c>
      <c r="C779" s="7" t="n">
        <v>80</v>
      </c>
      <c r="AB779" s="7" t="n">
        <v>80</v>
      </c>
      <c r="AD779" s="7" t="n">
        <v>30</v>
      </c>
    </row>
    <row r="780" customFormat="false" ht="15" hidden="false" customHeight="false" outlineLevel="0" collapsed="false">
      <c r="B780" s="8" t="s">
        <v>815</v>
      </c>
      <c r="C780" s="7" t="n">
        <v>80</v>
      </c>
      <c r="AB780" s="7" t="n">
        <v>30</v>
      </c>
      <c r="AD780" s="7" t="n">
        <v>40</v>
      </c>
    </row>
    <row r="781" customFormat="false" ht="15" hidden="false" customHeight="false" outlineLevel="0" collapsed="false">
      <c r="B781" s="8" t="s">
        <v>816</v>
      </c>
      <c r="C781" s="7" t="n">
        <v>80</v>
      </c>
      <c r="AB781" s="7" t="n">
        <v>30</v>
      </c>
      <c r="AD781" s="7" t="n">
        <v>25</v>
      </c>
    </row>
    <row r="782" customFormat="false" ht="15" hidden="false" customHeight="false" outlineLevel="0" collapsed="false">
      <c r="B782" s="8" t="s">
        <v>817</v>
      </c>
      <c r="C782" s="7" t="n">
        <v>80</v>
      </c>
      <c r="AB782" s="7" t="n">
        <v>40</v>
      </c>
      <c r="AD782" s="7" t="n">
        <v>50</v>
      </c>
    </row>
    <row r="783" customFormat="false" ht="15" hidden="false" customHeight="false" outlineLevel="0" collapsed="false">
      <c r="B783" s="8" t="s">
        <v>818</v>
      </c>
      <c r="C783" s="7" t="n">
        <v>80</v>
      </c>
      <c r="AB783" s="7" t="n">
        <v>25</v>
      </c>
      <c r="AD783" s="7" t="n">
        <v>50</v>
      </c>
    </row>
    <row r="784" customFormat="false" ht="15" hidden="false" customHeight="false" outlineLevel="0" collapsed="false">
      <c r="B784" s="8" t="s">
        <v>819</v>
      </c>
      <c r="C784" s="7" t="n">
        <v>0</v>
      </c>
      <c r="AB784" s="7" t="n">
        <v>50</v>
      </c>
      <c r="AD784" s="7" t="n">
        <v>30</v>
      </c>
    </row>
    <row r="785" customFormat="false" ht="15" hidden="false" customHeight="false" outlineLevel="0" collapsed="false">
      <c r="B785" s="8" t="s">
        <v>820</v>
      </c>
      <c r="C785" s="7" t="n">
        <v>40</v>
      </c>
      <c r="AB785" s="7" t="n">
        <v>50</v>
      </c>
      <c r="AD785" s="7" t="n">
        <v>30</v>
      </c>
    </row>
    <row r="786" customFormat="false" ht="15" hidden="false" customHeight="false" outlineLevel="0" collapsed="false">
      <c r="B786" s="8" t="s">
        <v>821</v>
      </c>
      <c r="C786" s="7" t="n">
        <v>35</v>
      </c>
      <c r="AB786" s="7" t="n">
        <v>30</v>
      </c>
      <c r="AD786" s="7" t="n">
        <v>30</v>
      </c>
    </row>
    <row r="787" customFormat="false" ht="15" hidden="false" customHeight="false" outlineLevel="0" collapsed="false">
      <c r="B787" s="8" t="s">
        <v>822</v>
      </c>
      <c r="C787" s="7" t="n">
        <v>15</v>
      </c>
      <c r="AB787" s="7" t="n">
        <v>30</v>
      </c>
      <c r="AD787" s="7" t="n">
        <v>25</v>
      </c>
    </row>
    <row r="788" customFormat="false" ht="15" hidden="false" customHeight="false" outlineLevel="0" collapsed="false">
      <c r="B788" s="8" t="s">
        <v>823</v>
      </c>
      <c r="C788" s="7" t="n">
        <v>60</v>
      </c>
      <c r="AB788" s="7" t="n">
        <v>30</v>
      </c>
      <c r="AD788" s="7" t="n">
        <v>0</v>
      </c>
    </row>
    <row r="789" customFormat="false" ht="15" hidden="false" customHeight="false" outlineLevel="0" collapsed="false">
      <c r="B789" s="8" t="s">
        <v>824</v>
      </c>
      <c r="C789" s="7" t="n">
        <v>50</v>
      </c>
      <c r="AB789" s="7" t="n">
        <v>25</v>
      </c>
      <c r="AD789" s="7" t="n">
        <v>40</v>
      </c>
    </row>
    <row r="790" customFormat="false" ht="15" hidden="false" customHeight="false" outlineLevel="0" collapsed="false">
      <c r="B790" s="8" t="s">
        <v>825</v>
      </c>
      <c r="C790" s="7" t="n">
        <v>50</v>
      </c>
      <c r="AB790" s="7" t="n">
        <v>0</v>
      </c>
      <c r="AD790" s="7" t="n">
        <v>30</v>
      </c>
    </row>
    <row r="791" customFormat="false" ht="15" hidden="false" customHeight="false" outlineLevel="0" collapsed="false">
      <c r="B791" s="8" t="s">
        <v>826</v>
      </c>
      <c r="C791" s="7" t="n">
        <v>30</v>
      </c>
      <c r="AB791" s="7" t="n">
        <v>40</v>
      </c>
      <c r="AD791" s="7" t="n">
        <v>40</v>
      </c>
    </row>
    <row r="792" customFormat="false" ht="15" hidden="false" customHeight="false" outlineLevel="0" collapsed="false">
      <c r="B792" s="8" t="s">
        <v>827</v>
      </c>
      <c r="C792" s="7" t="n">
        <v>25</v>
      </c>
      <c r="AB792" s="7" t="n">
        <v>30</v>
      </c>
      <c r="AD792" s="7" t="n">
        <v>30</v>
      </c>
    </row>
    <row r="793" customFormat="false" ht="15" hidden="false" customHeight="false" outlineLevel="0" collapsed="false">
      <c r="B793" s="8" t="s">
        <v>828</v>
      </c>
      <c r="C793" s="7" t="n">
        <v>25</v>
      </c>
      <c r="AB793" s="7" t="n">
        <v>40</v>
      </c>
      <c r="AD793" s="7"/>
    </row>
    <row r="794" customFormat="false" ht="15" hidden="false" customHeight="false" outlineLevel="0" collapsed="false">
      <c r="B794" s="8" t="s">
        <v>829</v>
      </c>
      <c r="C794" s="7" t="n">
        <v>0</v>
      </c>
      <c r="AB794" s="7" t="n">
        <v>30</v>
      </c>
      <c r="AD794" s="7"/>
    </row>
    <row r="795" customFormat="false" ht="15" hidden="false" customHeight="false" outlineLevel="0" collapsed="false">
      <c r="B795" s="8" t="s">
        <v>830</v>
      </c>
      <c r="C795" s="7" t="n">
        <v>25</v>
      </c>
      <c r="AB795" s="7" t="n">
        <v>30</v>
      </c>
      <c r="AD795" s="7" t="n">
        <v>50</v>
      </c>
    </row>
    <row r="796" customFormat="false" ht="15" hidden="false" customHeight="false" outlineLevel="0" collapsed="false">
      <c r="B796" s="8" t="s">
        <v>831</v>
      </c>
      <c r="C796" s="7" t="n">
        <v>30</v>
      </c>
      <c r="AB796" s="7" t="n">
        <v>30</v>
      </c>
      <c r="AD796" s="7" t="n">
        <v>30</v>
      </c>
    </row>
    <row r="797" customFormat="false" ht="15" hidden="false" customHeight="false" outlineLevel="0" collapsed="false">
      <c r="B797" s="8" t="s">
        <v>832</v>
      </c>
      <c r="C797" s="7" t="n">
        <v>0</v>
      </c>
      <c r="AB797" s="7" t="n">
        <v>50</v>
      </c>
      <c r="AD797" s="7"/>
    </row>
    <row r="798" customFormat="false" ht="15" hidden="false" customHeight="false" outlineLevel="0" collapsed="false">
      <c r="B798" s="8" t="s">
        <v>833</v>
      </c>
      <c r="C798" s="7" t="n">
        <v>30</v>
      </c>
      <c r="AB798" s="7" t="n">
        <v>30</v>
      </c>
      <c r="AD798" s="7" t="n">
        <v>0</v>
      </c>
    </row>
    <row r="799" customFormat="false" ht="15" hidden="false" customHeight="false" outlineLevel="0" collapsed="false">
      <c r="B799" s="8" t="s">
        <v>834</v>
      </c>
      <c r="C799" s="7" t="n">
        <v>20</v>
      </c>
      <c r="AB799" s="7" t="n">
        <v>50</v>
      </c>
      <c r="AD799" s="7"/>
    </row>
    <row r="800" customFormat="false" ht="15" hidden="false" customHeight="false" outlineLevel="0" collapsed="false">
      <c r="B800" s="8" t="s">
        <v>835</v>
      </c>
      <c r="C800" s="7" t="n">
        <v>40</v>
      </c>
      <c r="AB800" s="7" t="n">
        <v>0</v>
      </c>
      <c r="AD800" s="7" t="n">
        <v>260</v>
      </c>
    </row>
    <row r="801" customFormat="false" ht="15" hidden="false" customHeight="false" outlineLevel="0" collapsed="false">
      <c r="B801" s="8" t="s">
        <v>836</v>
      </c>
      <c r="C801" s="7" t="n">
        <v>90</v>
      </c>
      <c r="AB801" s="7" t="n">
        <v>0</v>
      </c>
      <c r="AD801" s="7" t="n">
        <v>70</v>
      </c>
    </row>
    <row r="802" customFormat="false" ht="15" hidden="false" customHeight="false" outlineLevel="0" collapsed="false">
      <c r="B802" s="8" t="s">
        <v>837</v>
      </c>
      <c r="C802" s="7" t="n">
        <v>40</v>
      </c>
      <c r="AB802" s="7" t="n">
        <v>260</v>
      </c>
      <c r="AD802" s="7" t="n">
        <v>130</v>
      </c>
    </row>
    <row r="803" customFormat="false" ht="15" hidden="false" customHeight="false" outlineLevel="0" collapsed="false">
      <c r="B803" s="8" t="s">
        <v>838</v>
      </c>
      <c r="C803" s="7" t="n">
        <v>30</v>
      </c>
      <c r="AB803" s="7" t="n">
        <v>70</v>
      </c>
      <c r="AD803" s="7" t="n">
        <v>20</v>
      </c>
    </row>
    <row r="804" customFormat="false" ht="15" hidden="false" customHeight="false" outlineLevel="0" collapsed="false">
      <c r="B804" s="8" t="s">
        <v>839</v>
      </c>
      <c r="C804" s="7" t="n">
        <v>30</v>
      </c>
      <c r="AB804" s="7" t="n">
        <v>130</v>
      </c>
      <c r="AD804" s="7" t="n">
        <v>35</v>
      </c>
    </row>
    <row r="805" customFormat="false" ht="15" hidden="false" customHeight="false" outlineLevel="0" collapsed="false">
      <c r="B805" s="8" t="s">
        <v>840</v>
      </c>
      <c r="C805" s="7" t="n">
        <v>40</v>
      </c>
      <c r="AB805" s="7" t="n">
        <v>20</v>
      </c>
      <c r="AD805" s="7" t="n">
        <v>40</v>
      </c>
    </row>
    <row r="806" customFormat="false" ht="15" hidden="false" customHeight="false" outlineLevel="0" collapsed="false">
      <c r="B806" s="8" t="s">
        <v>841</v>
      </c>
      <c r="C806" s="7" t="n">
        <v>30</v>
      </c>
      <c r="AB806" s="7" t="n">
        <v>35</v>
      </c>
      <c r="AD806" s="7" t="n">
        <v>60</v>
      </c>
    </row>
    <row r="807" customFormat="false" ht="15" hidden="false" customHeight="false" outlineLevel="0" collapsed="false">
      <c r="B807" s="8" t="s">
        <v>842</v>
      </c>
      <c r="C807" s="7" t="n">
        <v>80</v>
      </c>
      <c r="AB807" s="7" t="n">
        <v>40</v>
      </c>
      <c r="AD807" s="7" t="n">
        <v>80</v>
      </c>
    </row>
    <row r="808" customFormat="false" ht="15" hidden="false" customHeight="false" outlineLevel="0" collapsed="false">
      <c r="B808" s="8" t="s">
        <v>843</v>
      </c>
      <c r="C808" s="7" t="n">
        <v>80</v>
      </c>
      <c r="AB808" s="7" t="n">
        <v>60</v>
      </c>
      <c r="AD808" s="7" t="n">
        <v>80</v>
      </c>
    </row>
    <row r="809" customFormat="false" ht="15" hidden="false" customHeight="false" outlineLevel="0" collapsed="false">
      <c r="B809" s="8" t="s">
        <v>844</v>
      </c>
      <c r="C809" s="7" t="n">
        <v>80</v>
      </c>
      <c r="E809" s="7"/>
      <c r="AB809" s="7" t="n">
        <v>80</v>
      </c>
      <c r="AD809" s="7" t="n">
        <v>80</v>
      </c>
    </row>
    <row r="810" customFormat="false" ht="15" hidden="false" customHeight="false" outlineLevel="0" collapsed="false">
      <c r="B810" s="8" t="s">
        <v>845</v>
      </c>
      <c r="C810" s="7" t="n">
        <v>80</v>
      </c>
      <c r="E810" s="7"/>
      <c r="AB810" s="7" t="n">
        <v>80</v>
      </c>
      <c r="AD810" s="7" t="n">
        <v>80</v>
      </c>
    </row>
    <row r="811" customFormat="false" ht="15" hidden="false" customHeight="false" outlineLevel="0" collapsed="false">
      <c r="B811" s="8" t="s">
        <v>846</v>
      </c>
      <c r="C811" s="7" t="n">
        <v>30</v>
      </c>
      <c r="E811" s="7"/>
      <c r="AB811" s="7" t="n">
        <v>80</v>
      </c>
      <c r="AD811" s="7" t="n">
        <v>80</v>
      </c>
    </row>
    <row r="812" customFormat="false" ht="15" hidden="false" customHeight="false" outlineLevel="0" collapsed="false">
      <c r="B812" s="8" t="s">
        <v>847</v>
      </c>
      <c r="C812" s="7" t="n">
        <v>30</v>
      </c>
      <c r="E812" s="7"/>
      <c r="AB812" s="7" t="n">
        <v>80</v>
      </c>
      <c r="AD812" s="7" t="n">
        <v>35</v>
      </c>
    </row>
    <row r="813" customFormat="false" ht="15" hidden="false" customHeight="false" outlineLevel="0" collapsed="false">
      <c r="B813" s="8" t="s">
        <v>848</v>
      </c>
      <c r="C813" s="7" t="n">
        <v>40</v>
      </c>
      <c r="E813" s="7"/>
      <c r="AB813" s="7" t="n">
        <v>80</v>
      </c>
      <c r="AD813" s="7" t="n">
        <v>60</v>
      </c>
    </row>
    <row r="814" customFormat="false" ht="15" hidden="false" customHeight="false" outlineLevel="0" collapsed="false">
      <c r="B814" s="8" t="s">
        <v>849</v>
      </c>
      <c r="C814" s="7" t="n">
        <v>25</v>
      </c>
      <c r="E814" s="7"/>
      <c r="AB814" s="7" t="n">
        <v>35</v>
      </c>
      <c r="AD814" s="7" t="n">
        <v>0</v>
      </c>
    </row>
    <row r="815" customFormat="false" ht="15" hidden="false" customHeight="false" outlineLevel="0" collapsed="false">
      <c r="B815" s="8" t="s">
        <v>850</v>
      </c>
      <c r="C815" s="7" t="n">
        <v>50</v>
      </c>
      <c r="E815" s="7"/>
      <c r="AB815" s="7" t="n">
        <v>60</v>
      </c>
      <c r="AD815" s="7" t="n">
        <v>35</v>
      </c>
    </row>
    <row r="816" customFormat="false" ht="15" hidden="false" customHeight="false" outlineLevel="0" collapsed="false">
      <c r="B816" s="8" t="s">
        <v>851</v>
      </c>
      <c r="C816" s="7" t="n">
        <v>50</v>
      </c>
      <c r="E816" s="7"/>
      <c r="AB816" s="7" t="n">
        <v>0</v>
      </c>
      <c r="AD816" s="7" t="n">
        <v>40</v>
      </c>
    </row>
    <row r="817" customFormat="false" ht="15" hidden="false" customHeight="false" outlineLevel="0" collapsed="false">
      <c r="B817" s="8" t="s">
        <v>852</v>
      </c>
      <c r="C817" s="7" t="n">
        <v>30</v>
      </c>
      <c r="E817" s="7"/>
      <c r="AB817" s="7" t="n">
        <v>35</v>
      </c>
      <c r="AD817" s="7" t="n">
        <v>40</v>
      </c>
    </row>
    <row r="818" customFormat="false" ht="15" hidden="false" customHeight="false" outlineLevel="0" collapsed="false">
      <c r="B818" s="8" t="s">
        <v>853</v>
      </c>
      <c r="C818" s="7" t="n">
        <v>30</v>
      </c>
      <c r="E818" s="7"/>
      <c r="AB818" s="7" t="n">
        <v>40</v>
      </c>
      <c r="AD818" s="7" t="n">
        <v>0</v>
      </c>
    </row>
    <row r="819" customFormat="false" ht="15" hidden="false" customHeight="false" outlineLevel="0" collapsed="false">
      <c r="B819" s="8" t="s">
        <v>854</v>
      </c>
      <c r="C819" s="7" t="n">
        <v>30</v>
      </c>
      <c r="E819" s="7"/>
      <c r="AB819" s="7" t="n">
        <v>40</v>
      </c>
      <c r="AD819" s="7" t="n">
        <v>25</v>
      </c>
    </row>
    <row r="820" customFormat="false" ht="15" hidden="false" customHeight="false" outlineLevel="0" collapsed="false">
      <c r="B820" s="8" t="s">
        <v>855</v>
      </c>
      <c r="C820" s="7" t="n">
        <v>25</v>
      </c>
      <c r="E820" s="7"/>
      <c r="AB820" s="7" t="n">
        <v>0</v>
      </c>
      <c r="AD820" s="7" t="n">
        <v>25</v>
      </c>
    </row>
    <row r="821" customFormat="false" ht="15" hidden="false" customHeight="false" outlineLevel="0" collapsed="false">
      <c r="B821" s="8" t="s">
        <v>856</v>
      </c>
      <c r="C821" s="7" t="n">
        <v>0</v>
      </c>
      <c r="E821" s="7"/>
      <c r="AB821" s="7" t="n">
        <v>25</v>
      </c>
      <c r="AD821" s="7" t="n">
        <v>30</v>
      </c>
    </row>
    <row r="822" customFormat="false" ht="15" hidden="false" customHeight="false" outlineLevel="0" collapsed="false">
      <c r="B822" s="8" t="s">
        <v>857</v>
      </c>
      <c r="C822" s="7" t="n">
        <v>40</v>
      </c>
      <c r="E822" s="7"/>
      <c r="AB822" s="7" t="n">
        <v>25</v>
      </c>
      <c r="AD822" s="7" t="n">
        <v>40</v>
      </c>
    </row>
    <row r="823" customFormat="false" ht="15" hidden="false" customHeight="false" outlineLevel="0" collapsed="false">
      <c r="B823" s="8" t="s">
        <v>858</v>
      </c>
      <c r="C823" s="7" t="n">
        <v>30</v>
      </c>
      <c r="E823" s="7"/>
      <c r="AB823" s="7" t="n">
        <v>30</v>
      </c>
      <c r="AD823" s="7" t="n">
        <v>0</v>
      </c>
    </row>
    <row r="824" customFormat="false" ht="15" hidden="false" customHeight="false" outlineLevel="0" collapsed="false">
      <c r="B824" s="8" t="s">
        <v>859</v>
      </c>
      <c r="C824" s="7" t="n">
        <v>40</v>
      </c>
      <c r="E824" s="7"/>
      <c r="AB824" s="7" t="n">
        <v>40</v>
      </c>
      <c r="AD824" s="7" t="n">
        <v>35</v>
      </c>
    </row>
    <row r="825" customFormat="false" ht="15" hidden="false" customHeight="false" outlineLevel="0" collapsed="false">
      <c r="B825" s="8" t="s">
        <v>860</v>
      </c>
      <c r="C825" s="7" t="n">
        <v>30</v>
      </c>
      <c r="E825" s="7"/>
      <c r="AB825" s="7" t="n">
        <v>0</v>
      </c>
      <c r="AD825" s="7" t="n">
        <v>0</v>
      </c>
    </row>
    <row r="826" customFormat="false" ht="15" hidden="false" customHeight="false" outlineLevel="0" collapsed="false">
      <c r="B826" s="8" t="s">
        <v>861</v>
      </c>
      <c r="C826" s="7" t="n">
        <v>30</v>
      </c>
      <c r="E826" s="7"/>
      <c r="AB826" s="7" t="n">
        <v>35</v>
      </c>
      <c r="AD826" s="7" t="n">
        <v>30</v>
      </c>
    </row>
    <row r="827" customFormat="false" ht="15" hidden="false" customHeight="false" outlineLevel="0" collapsed="false">
      <c r="B827" s="8" t="s">
        <v>862</v>
      </c>
      <c r="C827" s="7" t="n">
        <v>30</v>
      </c>
      <c r="E827" s="7"/>
      <c r="AB827" s="7" t="n">
        <v>0</v>
      </c>
      <c r="AD827" s="7" t="n">
        <v>40</v>
      </c>
    </row>
    <row r="828" customFormat="false" ht="15" hidden="false" customHeight="false" outlineLevel="0" collapsed="false">
      <c r="B828" s="8" t="s">
        <v>863</v>
      </c>
      <c r="C828" s="7" t="n">
        <v>50</v>
      </c>
      <c r="E828" s="7"/>
      <c r="AB828" s="7" t="n">
        <v>30</v>
      </c>
      <c r="AD828" s="7" t="n">
        <v>100</v>
      </c>
    </row>
    <row r="829" customFormat="false" ht="15" hidden="false" customHeight="false" outlineLevel="0" collapsed="false">
      <c r="B829" s="8" t="s">
        <v>864</v>
      </c>
      <c r="C829" s="7" t="n">
        <v>30</v>
      </c>
      <c r="E829" s="7"/>
      <c r="AB829" s="7" t="n">
        <v>40</v>
      </c>
      <c r="AD829" s="7" t="n">
        <v>30</v>
      </c>
    </row>
    <row r="830" customFormat="false" ht="15" hidden="false" customHeight="false" outlineLevel="0" collapsed="false">
      <c r="B830" s="8" t="s">
        <v>865</v>
      </c>
      <c r="C830" s="7" t="n">
        <v>50</v>
      </c>
      <c r="E830" s="7"/>
      <c r="AB830" s="7" t="n">
        <v>100</v>
      </c>
      <c r="AD830" s="7" t="n">
        <v>30</v>
      </c>
    </row>
    <row r="831" customFormat="false" ht="15" hidden="false" customHeight="false" outlineLevel="0" collapsed="false">
      <c r="B831" s="8" t="s">
        <v>866</v>
      </c>
      <c r="C831" s="7" t="n">
        <v>0</v>
      </c>
      <c r="E831" s="7"/>
      <c r="AB831" s="7" t="n">
        <v>30</v>
      </c>
      <c r="AD831" s="7" t="n">
        <v>25</v>
      </c>
    </row>
    <row r="832" customFormat="false" ht="15" hidden="false" customHeight="false" outlineLevel="0" collapsed="false">
      <c r="B832" s="8" t="s">
        <v>867</v>
      </c>
      <c r="C832" s="7" t="n">
        <v>60</v>
      </c>
      <c r="E832" s="7"/>
      <c r="AB832" s="7" t="n">
        <v>30</v>
      </c>
      <c r="AD832" s="7" t="n">
        <v>30</v>
      </c>
    </row>
    <row r="833" customFormat="false" ht="15" hidden="false" customHeight="false" outlineLevel="0" collapsed="false">
      <c r="B833" s="8" t="s">
        <v>868</v>
      </c>
      <c r="C833" s="7" t="n">
        <v>0</v>
      </c>
      <c r="E833" s="7"/>
      <c r="AB833" s="7" t="n">
        <v>25</v>
      </c>
      <c r="AD833" s="7" t="n">
        <v>80</v>
      </c>
    </row>
    <row r="834" customFormat="false" ht="15" hidden="false" customHeight="false" outlineLevel="0" collapsed="false">
      <c r="B834" s="10" t="s">
        <v>869</v>
      </c>
      <c r="C834" s="7" t="n">
        <v>120</v>
      </c>
      <c r="E834" s="7"/>
      <c r="AB834" s="7" t="n">
        <v>30</v>
      </c>
      <c r="AD834" s="7" t="n">
        <v>80</v>
      </c>
    </row>
    <row r="835" customFormat="false" ht="15" hidden="false" customHeight="false" outlineLevel="0" collapsed="false">
      <c r="B835" s="8" t="s">
        <v>870</v>
      </c>
      <c r="C835" s="7" t="n">
        <v>260</v>
      </c>
      <c r="AB835" s="7" t="n">
        <v>80</v>
      </c>
      <c r="AD835" s="7" t="n">
        <v>80</v>
      </c>
    </row>
    <row r="836" customFormat="false" ht="15" hidden="false" customHeight="false" outlineLevel="0" collapsed="false">
      <c r="B836" s="8" t="s">
        <v>871</v>
      </c>
      <c r="C836" s="7" t="n">
        <v>120</v>
      </c>
      <c r="AB836" s="7" t="n">
        <v>80</v>
      </c>
      <c r="AD836" s="7" t="n">
        <v>80</v>
      </c>
    </row>
    <row r="837" customFormat="false" ht="15" hidden="false" customHeight="false" outlineLevel="0" collapsed="false">
      <c r="B837" s="8" t="s">
        <v>872</v>
      </c>
      <c r="C837" s="7" t="n">
        <v>60</v>
      </c>
      <c r="AB837" s="7" t="n">
        <v>80</v>
      </c>
      <c r="AD837" s="7" t="n">
        <v>80</v>
      </c>
    </row>
    <row r="838" customFormat="false" ht="15" hidden="false" customHeight="false" outlineLevel="0" collapsed="false">
      <c r="B838" s="8" t="s">
        <v>873</v>
      </c>
      <c r="C838" s="7" t="n">
        <v>70</v>
      </c>
      <c r="AB838" s="7" t="n">
        <v>80</v>
      </c>
      <c r="AD838" s="7" t="n">
        <v>15</v>
      </c>
    </row>
    <row r="839" customFormat="false" ht="15" hidden="false" customHeight="false" outlineLevel="0" collapsed="false">
      <c r="B839" s="8" t="s">
        <v>874</v>
      </c>
      <c r="C839" s="7" t="n">
        <v>130</v>
      </c>
      <c r="AB839" s="7" t="n">
        <v>80</v>
      </c>
      <c r="AD839" s="7" t="n">
        <v>40</v>
      </c>
    </row>
    <row r="840" customFormat="false" ht="15" hidden="false" customHeight="false" outlineLevel="0" collapsed="false">
      <c r="B840" s="8" t="s">
        <v>875</v>
      </c>
      <c r="C840" s="7" t="n">
        <v>20</v>
      </c>
      <c r="AB840" s="7" t="n">
        <v>15</v>
      </c>
      <c r="AD840" s="7" t="n">
        <v>35</v>
      </c>
    </row>
    <row r="841" customFormat="false" ht="15" hidden="false" customHeight="false" outlineLevel="0" collapsed="false">
      <c r="B841" s="8" t="s">
        <v>876</v>
      </c>
      <c r="C841" s="7" t="n">
        <v>35</v>
      </c>
      <c r="AB841" s="7" t="n">
        <v>40</v>
      </c>
      <c r="AD841" s="7" t="n">
        <v>10</v>
      </c>
    </row>
    <row r="842" customFormat="false" ht="15" hidden="false" customHeight="false" outlineLevel="0" collapsed="false">
      <c r="B842" s="8" t="s">
        <v>877</v>
      </c>
      <c r="C842" s="7" t="n">
        <v>40</v>
      </c>
      <c r="AB842" s="7" t="n">
        <v>35</v>
      </c>
      <c r="AD842" s="7" t="n">
        <v>45</v>
      </c>
    </row>
    <row r="843" customFormat="false" ht="15" hidden="false" customHeight="false" outlineLevel="0" collapsed="false">
      <c r="B843" s="8" t="s">
        <v>878</v>
      </c>
      <c r="C843" s="7" t="n">
        <v>60</v>
      </c>
      <c r="AB843" s="7" t="n">
        <v>10</v>
      </c>
      <c r="AD843" s="7" t="n">
        <v>45</v>
      </c>
    </row>
    <row r="844" customFormat="false" ht="15" hidden="false" customHeight="false" outlineLevel="0" collapsed="false">
      <c r="B844" s="8" t="s">
        <v>879</v>
      </c>
      <c r="C844" s="7" t="n">
        <v>80</v>
      </c>
      <c r="AB844" s="7" t="n">
        <v>45</v>
      </c>
      <c r="AD844" s="7" t="n">
        <v>30</v>
      </c>
    </row>
    <row r="845" customFormat="false" ht="15" hidden="false" customHeight="false" outlineLevel="0" collapsed="false">
      <c r="B845" s="8" t="s">
        <v>880</v>
      </c>
      <c r="C845" s="7" t="n">
        <v>80</v>
      </c>
      <c r="AB845" s="7" t="n">
        <v>45</v>
      </c>
      <c r="AD845" s="7" t="n">
        <v>30</v>
      </c>
    </row>
    <row r="846" customFormat="false" ht="15" hidden="false" customHeight="false" outlineLevel="0" collapsed="false">
      <c r="B846" s="8" t="s">
        <v>881</v>
      </c>
      <c r="C846" s="7" t="n">
        <v>80</v>
      </c>
      <c r="AB846" s="7" t="n">
        <v>30</v>
      </c>
      <c r="AD846" s="7" t="n">
        <v>25</v>
      </c>
    </row>
    <row r="847" customFormat="false" ht="15" hidden="false" customHeight="false" outlineLevel="0" collapsed="false">
      <c r="B847" s="8" t="s">
        <v>882</v>
      </c>
      <c r="C847" s="7" t="n">
        <v>80</v>
      </c>
      <c r="AB847" s="7" t="n">
        <v>30</v>
      </c>
      <c r="AD847" s="7" t="n">
        <v>0</v>
      </c>
    </row>
    <row r="848" customFormat="false" ht="15" hidden="false" customHeight="false" outlineLevel="0" collapsed="false">
      <c r="B848" s="8" t="s">
        <v>883</v>
      </c>
      <c r="C848" s="7" t="n">
        <v>80</v>
      </c>
      <c r="AB848" s="7" t="n">
        <v>25</v>
      </c>
      <c r="AD848" s="7" t="n">
        <v>25</v>
      </c>
    </row>
    <row r="849" customFormat="false" ht="15" hidden="false" customHeight="false" outlineLevel="0" collapsed="false">
      <c r="B849" s="8" t="s">
        <v>884</v>
      </c>
      <c r="C849" s="7" t="n">
        <v>35</v>
      </c>
      <c r="AB849" s="7" t="n">
        <v>0</v>
      </c>
      <c r="AD849" s="7" t="n">
        <v>30</v>
      </c>
    </row>
    <row r="850" customFormat="false" ht="15" hidden="false" customHeight="false" outlineLevel="0" collapsed="false">
      <c r="B850" s="8" t="s">
        <v>885</v>
      </c>
      <c r="C850" s="7" t="n">
        <v>60</v>
      </c>
      <c r="AB850" s="7" t="n">
        <v>25</v>
      </c>
      <c r="AD850" s="7" t="n">
        <v>0</v>
      </c>
    </row>
    <row r="851" customFormat="false" ht="15" hidden="false" customHeight="false" outlineLevel="0" collapsed="false">
      <c r="B851" s="8" t="s">
        <v>886</v>
      </c>
      <c r="C851" s="7" t="n">
        <v>0</v>
      </c>
      <c r="AB851" s="7" t="n">
        <v>30</v>
      </c>
      <c r="AD851" s="7" t="n">
        <v>30</v>
      </c>
    </row>
    <row r="852" customFormat="false" ht="15" hidden="false" customHeight="false" outlineLevel="0" collapsed="false">
      <c r="B852" s="8" t="s">
        <v>887</v>
      </c>
      <c r="C852" s="7" t="n">
        <v>35</v>
      </c>
      <c r="AB852" s="7" t="n">
        <v>0</v>
      </c>
      <c r="AD852" s="7" t="n">
        <v>30</v>
      </c>
    </row>
    <row r="853" customFormat="false" ht="15" hidden="false" customHeight="false" outlineLevel="0" collapsed="false">
      <c r="B853" s="8" t="s">
        <v>888</v>
      </c>
      <c r="C853" s="7" t="n">
        <v>40</v>
      </c>
      <c r="AB853" s="7" t="n">
        <v>30</v>
      </c>
      <c r="AD853" s="7"/>
    </row>
    <row r="854" customFormat="false" ht="15" hidden="false" customHeight="false" outlineLevel="0" collapsed="false">
      <c r="B854" s="8" t="s">
        <v>889</v>
      </c>
      <c r="C854" s="7" t="n">
        <v>40</v>
      </c>
      <c r="AB854" s="7" t="n">
        <v>30</v>
      </c>
      <c r="AD854" s="7"/>
    </row>
    <row r="855" customFormat="false" ht="15" hidden="false" customHeight="false" outlineLevel="0" collapsed="false">
      <c r="B855" s="8" t="s">
        <v>890</v>
      </c>
      <c r="C855" s="7" t="n">
        <v>0</v>
      </c>
      <c r="AB855" s="7" t="n">
        <v>50</v>
      </c>
      <c r="AD855" s="7" t="n">
        <v>60</v>
      </c>
    </row>
    <row r="856" customFormat="false" ht="15" hidden="false" customHeight="false" outlineLevel="0" collapsed="false">
      <c r="B856" s="8" t="s">
        <v>891</v>
      </c>
      <c r="C856" s="7" t="n">
        <v>25</v>
      </c>
      <c r="AB856" s="7" t="n">
        <v>50</v>
      </c>
      <c r="AD856" s="7" t="n">
        <v>65</v>
      </c>
    </row>
    <row r="857" customFormat="false" ht="15" hidden="false" customHeight="false" outlineLevel="0" collapsed="false">
      <c r="B857" s="8" t="s">
        <v>892</v>
      </c>
      <c r="C857" s="7" t="n">
        <v>25</v>
      </c>
      <c r="AB857" s="7" t="n">
        <v>60</v>
      </c>
      <c r="AD857" s="7" t="n">
        <v>20</v>
      </c>
    </row>
    <row r="858" customFormat="false" ht="15" hidden="false" customHeight="false" outlineLevel="0" collapsed="false">
      <c r="B858" s="8" t="s">
        <v>893</v>
      </c>
      <c r="C858" s="7" t="n">
        <v>30</v>
      </c>
      <c r="AB858" s="7" t="n">
        <v>65</v>
      </c>
      <c r="AD858" s="7" t="n">
        <v>35</v>
      </c>
    </row>
    <row r="859" customFormat="false" ht="15" hidden="false" customHeight="false" outlineLevel="0" collapsed="false">
      <c r="B859" s="8" t="s">
        <v>894</v>
      </c>
      <c r="C859" s="7" t="n">
        <v>40</v>
      </c>
      <c r="AB859" s="7" t="n">
        <v>20</v>
      </c>
      <c r="AD859" s="7" t="n">
        <v>35</v>
      </c>
    </row>
    <row r="860" customFormat="false" ht="15" hidden="false" customHeight="false" outlineLevel="0" collapsed="false">
      <c r="B860" s="8" t="s">
        <v>895</v>
      </c>
      <c r="C860" s="7" t="n">
        <v>0</v>
      </c>
      <c r="AB860" s="7" t="n">
        <v>35</v>
      </c>
      <c r="AD860" s="7" t="n">
        <v>40</v>
      </c>
    </row>
    <row r="861" customFormat="false" ht="15" hidden="false" customHeight="false" outlineLevel="0" collapsed="false">
      <c r="B861" s="8" t="s">
        <v>896</v>
      </c>
      <c r="C861" s="7" t="n">
        <v>35</v>
      </c>
      <c r="AB861" s="7" t="n">
        <v>35</v>
      </c>
      <c r="AD861" s="7" t="n">
        <v>40</v>
      </c>
    </row>
    <row r="862" customFormat="false" ht="15" hidden="false" customHeight="false" outlineLevel="0" collapsed="false">
      <c r="B862" s="8" t="s">
        <v>897</v>
      </c>
      <c r="C862" s="7" t="n">
        <v>0</v>
      </c>
      <c r="AB862" s="7" t="n">
        <v>40</v>
      </c>
      <c r="AD862" s="7" t="n">
        <v>40</v>
      </c>
    </row>
    <row r="863" customFormat="false" ht="15" hidden="false" customHeight="false" outlineLevel="0" collapsed="false">
      <c r="B863" s="8" t="s">
        <v>898</v>
      </c>
      <c r="C863" s="7" t="n">
        <v>30</v>
      </c>
      <c r="AB863" s="7" t="n">
        <v>40</v>
      </c>
      <c r="AD863" s="7" t="n">
        <v>50</v>
      </c>
    </row>
    <row r="864" customFormat="false" ht="15" hidden="false" customHeight="false" outlineLevel="0" collapsed="false">
      <c r="B864" s="8" t="s">
        <v>899</v>
      </c>
      <c r="C864" s="7" t="n">
        <v>40</v>
      </c>
      <c r="AB864" s="7" t="n">
        <v>40</v>
      </c>
      <c r="AD864" s="7" t="n">
        <v>55</v>
      </c>
    </row>
    <row r="865" customFormat="false" ht="15" hidden="false" customHeight="false" outlineLevel="0" collapsed="false">
      <c r="B865" s="8" t="s">
        <v>900</v>
      </c>
      <c r="C865" s="7" t="n">
        <v>100</v>
      </c>
      <c r="AB865" s="7" t="n">
        <v>50</v>
      </c>
      <c r="AD865" s="7" t="n">
        <v>60</v>
      </c>
    </row>
    <row r="866" customFormat="false" ht="15" hidden="false" customHeight="false" outlineLevel="0" collapsed="false">
      <c r="B866" s="8" t="s">
        <v>901</v>
      </c>
      <c r="C866" s="7" t="n">
        <v>30</v>
      </c>
      <c r="AB866" s="7" t="n">
        <v>55</v>
      </c>
      <c r="AD866" s="7" t="n">
        <v>30</v>
      </c>
    </row>
    <row r="867" customFormat="false" ht="15" hidden="false" customHeight="false" outlineLevel="0" collapsed="false">
      <c r="B867" s="8" t="s">
        <v>902</v>
      </c>
      <c r="C867" s="7" t="n">
        <v>30</v>
      </c>
      <c r="AB867" s="7" t="n">
        <v>60</v>
      </c>
      <c r="AD867" s="7" t="n">
        <v>40</v>
      </c>
    </row>
    <row r="868" customFormat="false" ht="15" hidden="false" customHeight="false" outlineLevel="0" collapsed="false">
      <c r="B868" s="8" t="s">
        <v>903</v>
      </c>
      <c r="C868" s="7" t="n">
        <v>25</v>
      </c>
      <c r="AB868" s="7" t="n">
        <v>30</v>
      </c>
      <c r="AD868" s="7" t="n">
        <v>0</v>
      </c>
    </row>
    <row r="869" customFormat="false" ht="15" hidden="false" customHeight="false" outlineLevel="0" collapsed="false">
      <c r="B869" s="8" t="s">
        <v>904</v>
      </c>
      <c r="C869" s="7" t="n">
        <v>30</v>
      </c>
      <c r="AB869" s="7" t="n">
        <v>40</v>
      </c>
      <c r="AD869" s="7" t="n">
        <v>30</v>
      </c>
    </row>
    <row r="870" customFormat="false" ht="15" hidden="false" customHeight="false" outlineLevel="0" collapsed="false">
      <c r="B870" s="8" t="s">
        <v>905</v>
      </c>
      <c r="C870" s="7" t="n">
        <v>80</v>
      </c>
      <c r="AB870" s="7" t="n">
        <v>0</v>
      </c>
      <c r="AD870" s="7" t="n">
        <v>30</v>
      </c>
    </row>
    <row r="871" customFormat="false" ht="15" hidden="false" customHeight="false" outlineLevel="0" collapsed="false">
      <c r="B871" s="8" t="s">
        <v>906</v>
      </c>
      <c r="C871" s="7" t="n">
        <v>80</v>
      </c>
      <c r="AB871" s="7" t="n">
        <v>30</v>
      </c>
      <c r="AD871" s="7" t="n">
        <v>30</v>
      </c>
    </row>
    <row r="872" customFormat="false" ht="15" hidden="false" customHeight="false" outlineLevel="0" collapsed="false">
      <c r="B872" s="8" t="s">
        <v>907</v>
      </c>
      <c r="C872" s="7" t="n">
        <v>80</v>
      </c>
      <c r="AB872" s="7" t="n">
        <v>30</v>
      </c>
      <c r="AD872" s="7" t="n">
        <v>0</v>
      </c>
    </row>
    <row r="873" customFormat="false" ht="15" hidden="false" customHeight="false" outlineLevel="0" collapsed="false">
      <c r="B873" s="8" t="s">
        <v>908</v>
      </c>
      <c r="C873" s="7" t="n">
        <v>80</v>
      </c>
      <c r="AB873" s="7" t="n">
        <v>30</v>
      </c>
      <c r="AD873" s="7" t="n">
        <v>20</v>
      </c>
    </row>
    <row r="874" customFormat="false" ht="15" hidden="false" customHeight="false" outlineLevel="0" collapsed="false">
      <c r="B874" s="8" t="s">
        <v>909</v>
      </c>
      <c r="C874" s="7" t="n">
        <v>80</v>
      </c>
      <c r="AB874" s="7" t="n">
        <v>0</v>
      </c>
      <c r="AD874" s="7" t="n">
        <v>25</v>
      </c>
    </row>
    <row r="875" customFormat="false" ht="15" hidden="false" customHeight="false" outlineLevel="0" collapsed="false">
      <c r="B875" s="8" t="s">
        <v>910</v>
      </c>
      <c r="C875" s="7" t="n">
        <v>15</v>
      </c>
      <c r="AB875" s="7" t="n">
        <v>20</v>
      </c>
      <c r="AD875" s="7" t="n">
        <v>30</v>
      </c>
    </row>
    <row r="876" customFormat="false" ht="15" hidden="false" customHeight="false" outlineLevel="0" collapsed="false">
      <c r="B876" s="8" t="s">
        <v>911</v>
      </c>
      <c r="C876" s="7" t="n">
        <v>40</v>
      </c>
      <c r="AB876" s="7" t="n">
        <v>25</v>
      </c>
      <c r="AD876" s="7" t="n">
        <v>40</v>
      </c>
    </row>
    <row r="877" customFormat="false" ht="15" hidden="false" customHeight="false" outlineLevel="0" collapsed="false">
      <c r="B877" s="8" t="s">
        <v>912</v>
      </c>
      <c r="C877" s="7" t="n">
        <v>35</v>
      </c>
      <c r="AB877" s="7" t="n">
        <v>30</v>
      </c>
      <c r="AD877" s="7" t="n">
        <v>0</v>
      </c>
    </row>
    <row r="878" customFormat="false" ht="15" hidden="false" customHeight="false" outlineLevel="0" collapsed="false">
      <c r="B878" s="8" t="s">
        <v>913</v>
      </c>
      <c r="C878" s="7" t="n">
        <v>10</v>
      </c>
      <c r="AB878" s="7" t="n">
        <v>40</v>
      </c>
      <c r="AD878" s="7" t="n">
        <v>30</v>
      </c>
    </row>
    <row r="879" customFormat="false" ht="15" hidden="false" customHeight="false" outlineLevel="0" collapsed="false">
      <c r="B879" s="8" t="s">
        <v>914</v>
      </c>
      <c r="C879" s="7" t="n">
        <v>45</v>
      </c>
      <c r="AB879" s="7" t="n">
        <v>0</v>
      </c>
      <c r="AD879" s="7" t="n">
        <v>0</v>
      </c>
    </row>
    <row r="880" customFormat="false" ht="15" hidden="false" customHeight="false" outlineLevel="0" collapsed="false">
      <c r="B880" s="8" t="s">
        <v>915</v>
      </c>
      <c r="C880" s="7" t="n">
        <v>45</v>
      </c>
      <c r="AB880" s="7" t="n">
        <v>30</v>
      </c>
      <c r="AD880" s="7" t="n">
        <v>30</v>
      </c>
    </row>
    <row r="881" customFormat="false" ht="15" hidden="false" customHeight="false" outlineLevel="0" collapsed="false">
      <c r="B881" s="8" t="s">
        <v>916</v>
      </c>
      <c r="C881" s="7" t="n">
        <v>120</v>
      </c>
      <c r="AB881" s="7" t="n">
        <v>0</v>
      </c>
      <c r="AD881" s="7" t="n">
        <v>60</v>
      </c>
    </row>
    <row r="882" customFormat="false" ht="15" hidden="false" customHeight="false" outlineLevel="0" collapsed="false">
      <c r="B882" s="8" t="s">
        <v>917</v>
      </c>
      <c r="C882" s="7" t="n">
        <v>30</v>
      </c>
      <c r="AB882" s="7" t="n">
        <v>30</v>
      </c>
      <c r="AD882" s="7" t="n">
        <v>60</v>
      </c>
    </row>
    <row r="883" customFormat="false" ht="15" hidden="false" customHeight="false" outlineLevel="0" collapsed="false">
      <c r="B883" s="8" t="s">
        <v>918</v>
      </c>
      <c r="C883" s="7" t="n">
        <v>30</v>
      </c>
      <c r="AB883" s="7" t="n">
        <v>60</v>
      </c>
      <c r="AD883" s="7" t="n">
        <v>30</v>
      </c>
    </row>
    <row r="884" customFormat="false" ht="15" hidden="false" customHeight="false" outlineLevel="0" collapsed="false">
      <c r="B884" s="8" t="s">
        <v>919</v>
      </c>
      <c r="C884" s="7" t="n">
        <v>25</v>
      </c>
      <c r="AB884" s="7" t="n">
        <v>60</v>
      </c>
      <c r="AD884" s="7" t="n">
        <v>30</v>
      </c>
    </row>
    <row r="885" customFormat="false" ht="15" hidden="false" customHeight="false" outlineLevel="0" collapsed="false">
      <c r="B885" s="8" t="s">
        <v>920</v>
      </c>
      <c r="C885" s="7" t="n">
        <v>0</v>
      </c>
      <c r="AB885" s="7" t="n">
        <v>30</v>
      </c>
      <c r="AD885" s="7" t="n">
        <v>20</v>
      </c>
    </row>
    <row r="886" customFormat="false" ht="15" hidden="false" customHeight="false" outlineLevel="0" collapsed="false">
      <c r="B886" s="8" t="s">
        <v>921</v>
      </c>
      <c r="C886" s="7" t="n">
        <v>25</v>
      </c>
      <c r="AB886" s="7" t="n">
        <v>30</v>
      </c>
      <c r="AD886" s="7" t="n">
        <v>20</v>
      </c>
    </row>
    <row r="887" customFormat="false" ht="15" hidden="false" customHeight="false" outlineLevel="0" collapsed="false">
      <c r="B887" s="8" t="s">
        <v>922</v>
      </c>
      <c r="C887" s="7" t="n">
        <v>30</v>
      </c>
      <c r="AB887" s="7" t="n">
        <v>20</v>
      </c>
      <c r="AD887" s="7" t="n">
        <v>30</v>
      </c>
    </row>
    <row r="888" customFormat="false" ht="15" hidden="false" customHeight="false" outlineLevel="0" collapsed="false">
      <c r="B888" s="8" t="s">
        <v>923</v>
      </c>
      <c r="C888" s="7" t="n">
        <v>0</v>
      </c>
      <c r="AB888" s="7" t="n">
        <v>20</v>
      </c>
      <c r="AD888" s="7" t="n">
        <v>40</v>
      </c>
    </row>
    <row r="889" customFormat="false" ht="15" hidden="false" customHeight="false" outlineLevel="0" collapsed="false">
      <c r="B889" s="8" t="s">
        <v>924</v>
      </c>
      <c r="C889" s="7" t="n">
        <v>30</v>
      </c>
      <c r="AB889" s="7" t="n">
        <v>30</v>
      </c>
      <c r="AD889" s="7" t="n">
        <v>50</v>
      </c>
    </row>
    <row r="890" customFormat="false" ht="15" hidden="false" customHeight="false" outlineLevel="0" collapsed="false">
      <c r="B890" s="8" t="s">
        <v>925</v>
      </c>
      <c r="C890" s="7" t="n">
        <v>30</v>
      </c>
      <c r="AB890" s="7" t="n">
        <v>40</v>
      </c>
      <c r="AD890" s="7" t="n">
        <v>55</v>
      </c>
    </row>
    <row r="891" customFormat="false" ht="15" hidden="false" customHeight="false" outlineLevel="0" collapsed="false">
      <c r="B891" s="8" t="s">
        <v>926</v>
      </c>
      <c r="C891" s="7" t="n">
        <v>50</v>
      </c>
      <c r="AB891" s="7" t="n">
        <v>50</v>
      </c>
      <c r="AD891" s="7" t="n">
        <v>60</v>
      </c>
    </row>
    <row r="892" customFormat="false" ht="15" hidden="false" customHeight="false" outlineLevel="0" collapsed="false">
      <c r="B892" s="8" t="s">
        <v>927</v>
      </c>
      <c r="C892" s="7" t="n">
        <v>50</v>
      </c>
      <c r="AB892" s="7" t="n">
        <v>55</v>
      </c>
      <c r="AD892" s="7" t="n">
        <v>30</v>
      </c>
    </row>
    <row r="893" customFormat="false" ht="15" hidden="false" customHeight="false" outlineLevel="0" collapsed="false">
      <c r="B893" s="8" t="s">
        <v>928</v>
      </c>
      <c r="C893" s="7" t="n">
        <v>60</v>
      </c>
      <c r="AB893" s="7" t="n">
        <v>60</v>
      </c>
      <c r="AD893" s="7" t="n">
        <v>30</v>
      </c>
    </row>
    <row r="894" customFormat="false" ht="15" hidden="false" customHeight="false" outlineLevel="0" collapsed="false">
      <c r="B894" s="8" t="s">
        <v>929</v>
      </c>
      <c r="C894" s="7" t="n">
        <v>65</v>
      </c>
      <c r="AB894" s="7" t="n">
        <v>30</v>
      </c>
      <c r="AD894" s="7" t="n">
        <v>20</v>
      </c>
    </row>
    <row r="895" customFormat="false" ht="15" hidden="false" customHeight="false" outlineLevel="0" collapsed="false">
      <c r="B895" s="8" t="s">
        <v>930</v>
      </c>
      <c r="C895" s="7" t="n">
        <v>20</v>
      </c>
      <c r="AB895" s="7" t="n">
        <v>30</v>
      </c>
      <c r="AD895" s="7" t="n">
        <v>20</v>
      </c>
    </row>
    <row r="896" customFormat="false" ht="15" hidden="false" customHeight="false" outlineLevel="0" collapsed="false">
      <c r="B896" s="8" t="s">
        <v>931</v>
      </c>
      <c r="C896" s="7" t="n">
        <v>35</v>
      </c>
      <c r="AB896" s="7" t="n">
        <v>20</v>
      </c>
      <c r="AD896" s="7" t="n">
        <v>30</v>
      </c>
    </row>
    <row r="897" customFormat="false" ht="15" hidden="false" customHeight="false" outlineLevel="0" collapsed="false">
      <c r="B897" s="8" t="s">
        <v>932</v>
      </c>
      <c r="C897" s="7" t="n">
        <v>35</v>
      </c>
      <c r="AB897" s="7" t="n">
        <v>20</v>
      </c>
      <c r="AD897" s="7" t="n">
        <v>30</v>
      </c>
    </row>
    <row r="898" customFormat="false" ht="15" hidden="false" customHeight="false" outlineLevel="0" collapsed="false">
      <c r="B898" s="8" t="s">
        <v>933</v>
      </c>
      <c r="C898" s="7" t="n">
        <v>40</v>
      </c>
      <c r="AB898" s="7" t="n">
        <v>30</v>
      </c>
      <c r="AD898" s="7" t="n">
        <v>30</v>
      </c>
    </row>
    <row r="899" customFormat="false" ht="15" hidden="false" customHeight="false" outlineLevel="0" collapsed="false">
      <c r="B899" s="8" t="s">
        <v>934</v>
      </c>
      <c r="C899" s="7" t="n">
        <v>40</v>
      </c>
      <c r="AB899" s="7" t="n">
        <v>30</v>
      </c>
      <c r="AD899" s="7" t="n">
        <v>20</v>
      </c>
    </row>
    <row r="900" customFormat="false" ht="15" hidden="false" customHeight="false" outlineLevel="0" collapsed="false">
      <c r="B900" s="8" t="s">
        <v>935</v>
      </c>
      <c r="C900" s="7" t="n">
        <v>40</v>
      </c>
      <c r="AB900" s="7" t="n">
        <v>30</v>
      </c>
      <c r="AD900" s="7" t="n">
        <v>20</v>
      </c>
    </row>
    <row r="901" customFormat="false" ht="15" hidden="false" customHeight="false" outlineLevel="0" collapsed="false">
      <c r="B901" s="8" t="s">
        <v>936</v>
      </c>
      <c r="C901" s="7" t="n">
        <v>50</v>
      </c>
      <c r="AB901" s="7" t="n">
        <v>20</v>
      </c>
      <c r="AD901" s="7" t="n">
        <v>20</v>
      </c>
    </row>
    <row r="902" customFormat="false" ht="15" hidden="false" customHeight="false" outlineLevel="0" collapsed="false">
      <c r="B902" s="8" t="s">
        <v>937</v>
      </c>
      <c r="C902" s="7" t="n">
        <v>55</v>
      </c>
      <c r="AB902" s="7" t="n">
        <v>20</v>
      </c>
      <c r="AD902" s="7" t="n">
        <v>30</v>
      </c>
    </row>
    <row r="903" customFormat="false" ht="15" hidden="false" customHeight="false" outlineLevel="0" collapsed="false">
      <c r="B903" s="8" t="s">
        <v>938</v>
      </c>
      <c r="C903" s="7" t="n">
        <v>60</v>
      </c>
      <c r="AB903" s="7" t="n">
        <v>20</v>
      </c>
      <c r="AD903" s="7" t="n">
        <v>30</v>
      </c>
    </row>
    <row r="904" customFormat="false" ht="15" hidden="false" customHeight="false" outlineLevel="0" collapsed="false">
      <c r="B904" s="8" t="s">
        <v>939</v>
      </c>
      <c r="C904" s="7" t="n">
        <v>30</v>
      </c>
      <c r="AB904" s="7" t="n">
        <v>30</v>
      </c>
      <c r="AD904" s="7" t="n">
        <v>30</v>
      </c>
    </row>
    <row r="905" customFormat="false" ht="15" hidden="false" customHeight="false" outlineLevel="0" collapsed="false">
      <c r="B905" s="8" t="s">
        <v>940</v>
      </c>
      <c r="C905" s="7" t="n">
        <v>40</v>
      </c>
      <c r="AB905" s="7" t="n">
        <v>30</v>
      </c>
      <c r="AD905" s="7" t="n">
        <v>30</v>
      </c>
    </row>
    <row r="906" customFormat="false" ht="15" hidden="false" customHeight="false" outlineLevel="0" collapsed="false">
      <c r="B906" s="8" t="s">
        <v>941</v>
      </c>
      <c r="C906" s="7" t="n">
        <v>0</v>
      </c>
      <c r="AB906" s="7" t="n">
        <v>30</v>
      </c>
      <c r="AD906" s="7" t="n">
        <v>0</v>
      </c>
    </row>
    <row r="907" customFormat="false" ht="15" hidden="false" customHeight="false" outlineLevel="0" collapsed="false">
      <c r="B907" s="8" t="s">
        <v>942</v>
      </c>
      <c r="C907" s="7" t="n">
        <v>30</v>
      </c>
      <c r="AB907" s="7" t="n">
        <v>30</v>
      </c>
      <c r="AD907" s="7" t="n">
        <v>90</v>
      </c>
    </row>
    <row r="908" customFormat="false" ht="15" hidden="false" customHeight="false" outlineLevel="0" collapsed="false">
      <c r="B908" s="8" t="s">
        <v>943</v>
      </c>
      <c r="C908" s="7" t="n">
        <v>30</v>
      </c>
      <c r="AB908" s="7" t="n">
        <v>0</v>
      </c>
      <c r="AD908" s="7" t="n">
        <v>90</v>
      </c>
    </row>
    <row r="909" customFormat="false" ht="15" hidden="false" customHeight="false" outlineLevel="0" collapsed="false">
      <c r="B909" s="8" t="s">
        <v>944</v>
      </c>
      <c r="C909" s="7" t="n">
        <v>30</v>
      </c>
      <c r="AB909" s="7" t="n">
        <v>90</v>
      </c>
      <c r="AD909" s="7" t="n">
        <v>80</v>
      </c>
    </row>
    <row r="910" customFormat="false" ht="15" hidden="false" customHeight="false" outlineLevel="0" collapsed="false">
      <c r="B910" s="8" t="s">
        <v>945</v>
      </c>
      <c r="C910" s="7" t="n">
        <v>0</v>
      </c>
      <c r="AB910" s="7" t="n">
        <v>90</v>
      </c>
      <c r="AD910" s="7" t="n">
        <v>80</v>
      </c>
    </row>
    <row r="911" customFormat="false" ht="15" hidden="false" customHeight="false" outlineLevel="0" collapsed="false">
      <c r="B911" s="8" t="s">
        <v>946</v>
      </c>
      <c r="C911" s="7" t="n">
        <v>20</v>
      </c>
      <c r="AB911" s="7" t="n">
        <v>80</v>
      </c>
      <c r="AD911" s="7" t="n">
        <v>80</v>
      </c>
    </row>
    <row r="912" customFormat="false" ht="15" hidden="false" customHeight="false" outlineLevel="0" collapsed="false">
      <c r="B912" s="8" t="s">
        <v>947</v>
      </c>
      <c r="C912" s="7" t="n">
        <v>25</v>
      </c>
      <c r="AB912" s="7" t="n">
        <v>80</v>
      </c>
      <c r="AD912" s="7" t="n">
        <v>80</v>
      </c>
    </row>
    <row r="913" customFormat="false" ht="15" hidden="false" customHeight="false" outlineLevel="0" collapsed="false">
      <c r="B913" s="8" t="s">
        <v>948</v>
      </c>
      <c r="C913" s="7" t="n">
        <v>30</v>
      </c>
      <c r="AB913" s="7" t="n">
        <v>80</v>
      </c>
      <c r="AD913" s="7" t="n">
        <v>80</v>
      </c>
    </row>
    <row r="914" customFormat="false" ht="15" hidden="false" customHeight="false" outlineLevel="0" collapsed="false">
      <c r="B914" s="8" t="s">
        <v>949</v>
      </c>
      <c r="C914" s="7" t="n">
        <v>40</v>
      </c>
      <c r="AB914" s="7" t="n">
        <v>80</v>
      </c>
      <c r="AD914" s="7" t="n">
        <v>90</v>
      </c>
    </row>
    <row r="915" customFormat="false" ht="15" hidden="false" customHeight="false" outlineLevel="0" collapsed="false">
      <c r="B915" s="8" t="s">
        <v>950</v>
      </c>
      <c r="C915" s="7" t="n">
        <v>0</v>
      </c>
      <c r="AB915" s="7" t="n">
        <v>80</v>
      </c>
      <c r="AD915" s="7" t="n">
        <v>90</v>
      </c>
    </row>
    <row r="916" customFormat="false" ht="15" hidden="false" customHeight="false" outlineLevel="0" collapsed="false">
      <c r="B916" s="8" t="s">
        <v>951</v>
      </c>
      <c r="C916" s="7" t="n">
        <v>30</v>
      </c>
      <c r="AB916" s="7" t="n">
        <v>90</v>
      </c>
      <c r="AD916" s="7" t="n">
        <v>90</v>
      </c>
    </row>
    <row r="917" customFormat="false" ht="15" hidden="false" customHeight="false" outlineLevel="0" collapsed="false">
      <c r="B917" s="8" t="s">
        <v>952</v>
      </c>
      <c r="C917" s="7" t="n">
        <v>0</v>
      </c>
      <c r="AB917" s="7" t="n">
        <v>90</v>
      </c>
      <c r="AD917" s="7" t="n">
        <v>90</v>
      </c>
    </row>
    <row r="918" customFormat="false" ht="15" hidden="false" customHeight="false" outlineLevel="0" collapsed="false">
      <c r="B918" s="8" t="s">
        <v>953</v>
      </c>
      <c r="C918" s="7" t="n">
        <v>30</v>
      </c>
      <c r="AB918" s="7" t="n">
        <v>90</v>
      </c>
      <c r="AD918" s="7" t="n">
        <v>80</v>
      </c>
    </row>
    <row r="919" customFormat="false" ht="15" hidden="false" customHeight="false" outlineLevel="0" collapsed="false">
      <c r="B919" s="8" t="s">
        <v>954</v>
      </c>
      <c r="C919" s="7" t="n">
        <v>60</v>
      </c>
      <c r="AB919" s="7" t="n">
        <v>90</v>
      </c>
      <c r="AD919" s="7" t="n">
        <v>80</v>
      </c>
    </row>
    <row r="920" customFormat="false" ht="15" hidden="false" customHeight="false" outlineLevel="0" collapsed="false">
      <c r="B920" s="8" t="s">
        <v>955</v>
      </c>
      <c r="C920" s="7" t="n">
        <v>60</v>
      </c>
      <c r="AB920" s="7" t="n">
        <v>80</v>
      </c>
      <c r="AD920" s="7" t="n">
        <v>80</v>
      </c>
    </row>
    <row r="921" customFormat="false" ht="15" hidden="false" customHeight="false" outlineLevel="0" collapsed="false">
      <c r="B921" s="8" t="s">
        <v>956</v>
      </c>
      <c r="C921" s="7" t="n">
        <v>30</v>
      </c>
      <c r="AB921" s="7" t="n">
        <v>80</v>
      </c>
      <c r="AD921" s="7" t="n">
        <v>80</v>
      </c>
    </row>
    <row r="922" customFormat="false" ht="15" hidden="false" customHeight="false" outlineLevel="0" collapsed="false">
      <c r="B922" s="8" t="s">
        <v>957</v>
      </c>
      <c r="C922" s="7" t="n">
        <v>30</v>
      </c>
      <c r="AB922" s="7" t="n">
        <v>80</v>
      </c>
      <c r="AD922" s="7" t="n">
        <v>0</v>
      </c>
    </row>
    <row r="923" customFormat="false" ht="15" hidden="false" customHeight="false" outlineLevel="0" collapsed="false">
      <c r="B923" s="8" t="s">
        <v>958</v>
      </c>
      <c r="C923" s="7" t="n">
        <v>20</v>
      </c>
      <c r="AB923" s="7" t="n">
        <v>80</v>
      </c>
      <c r="AD923" s="7" t="n">
        <v>20</v>
      </c>
    </row>
    <row r="924" customFormat="false" ht="15" hidden="false" customHeight="false" outlineLevel="0" collapsed="false">
      <c r="B924" s="8" t="s">
        <v>959</v>
      </c>
      <c r="C924" s="7" t="n">
        <v>20</v>
      </c>
      <c r="AB924" s="7" t="n">
        <v>0</v>
      </c>
      <c r="AD924" s="7" t="n">
        <v>30</v>
      </c>
    </row>
    <row r="925" customFormat="false" ht="15" hidden="false" customHeight="false" outlineLevel="0" collapsed="false">
      <c r="B925" s="8" t="s">
        <v>960</v>
      </c>
      <c r="C925" s="7" t="n">
        <v>30</v>
      </c>
      <c r="AB925" s="7" t="n">
        <v>20</v>
      </c>
      <c r="AD925" s="7" t="n">
        <v>50</v>
      </c>
    </row>
    <row r="926" customFormat="false" ht="15" hidden="false" customHeight="false" outlineLevel="0" collapsed="false">
      <c r="B926" s="8" t="s">
        <v>961</v>
      </c>
      <c r="C926" s="7" t="n">
        <v>40</v>
      </c>
      <c r="AB926" s="7" t="n">
        <v>30</v>
      </c>
      <c r="AD926" s="7" t="n">
        <v>50</v>
      </c>
    </row>
    <row r="927" customFormat="false" ht="15" hidden="false" customHeight="false" outlineLevel="0" collapsed="false">
      <c r="B927" s="8" t="s">
        <v>962</v>
      </c>
      <c r="C927" s="7" t="n">
        <v>50</v>
      </c>
      <c r="AB927" s="7" t="n">
        <v>50</v>
      </c>
      <c r="AD927" s="7" t="n">
        <v>70</v>
      </c>
    </row>
    <row r="928" customFormat="false" ht="15" hidden="false" customHeight="false" outlineLevel="0" collapsed="false">
      <c r="B928" s="8" t="s">
        <v>963</v>
      </c>
      <c r="C928" s="7" t="n">
        <v>55</v>
      </c>
      <c r="AB928" s="7" t="n">
        <v>50</v>
      </c>
      <c r="AD928" s="7" t="n">
        <v>40</v>
      </c>
    </row>
    <row r="929" customFormat="false" ht="15" hidden="false" customHeight="false" outlineLevel="0" collapsed="false">
      <c r="B929" s="8" t="s">
        <v>964</v>
      </c>
      <c r="C929" s="7" t="n">
        <v>60</v>
      </c>
      <c r="AB929" s="7" t="n">
        <v>70</v>
      </c>
      <c r="AD929" s="7" t="n">
        <v>40</v>
      </c>
    </row>
    <row r="930" customFormat="false" ht="15" hidden="false" customHeight="false" outlineLevel="0" collapsed="false">
      <c r="B930" s="8" t="s">
        <v>965</v>
      </c>
      <c r="C930" s="7" t="n">
        <v>30</v>
      </c>
      <c r="AB930" s="7" t="n">
        <v>40</v>
      </c>
      <c r="AD930" s="7" t="n">
        <v>40</v>
      </c>
    </row>
    <row r="931" customFormat="false" ht="15" hidden="false" customHeight="false" outlineLevel="0" collapsed="false">
      <c r="B931" s="8" t="s">
        <v>966</v>
      </c>
      <c r="C931" s="7" t="n">
        <v>30</v>
      </c>
      <c r="AB931" s="7" t="n">
        <v>40</v>
      </c>
      <c r="AD931" s="7" t="n">
        <v>80</v>
      </c>
    </row>
    <row r="932" customFormat="false" ht="15" hidden="false" customHeight="false" outlineLevel="0" collapsed="false">
      <c r="B932" s="8" t="s">
        <v>967</v>
      </c>
      <c r="C932" s="7" t="n">
        <v>20</v>
      </c>
      <c r="AB932" s="7" t="n">
        <v>40</v>
      </c>
      <c r="AD932" s="7" t="n">
        <v>80</v>
      </c>
    </row>
    <row r="933" customFormat="false" ht="15" hidden="false" customHeight="false" outlineLevel="0" collapsed="false">
      <c r="B933" s="8" t="s">
        <v>968</v>
      </c>
      <c r="C933" s="7" t="n">
        <v>20</v>
      </c>
      <c r="AB933" s="7" t="n">
        <v>80</v>
      </c>
      <c r="AD933" s="7" t="n">
        <v>80</v>
      </c>
    </row>
    <row r="934" customFormat="false" ht="15" hidden="false" customHeight="false" outlineLevel="0" collapsed="false">
      <c r="B934" s="8" t="s">
        <v>969</v>
      </c>
      <c r="C934" s="7" t="n">
        <v>30</v>
      </c>
      <c r="AB934" s="7" t="n">
        <v>80</v>
      </c>
      <c r="AD934" s="7" t="n">
        <v>80</v>
      </c>
    </row>
    <row r="935" customFormat="false" ht="15" hidden="false" customHeight="false" outlineLevel="0" collapsed="false">
      <c r="B935" s="8" t="s">
        <v>970</v>
      </c>
      <c r="C935" s="7" t="n">
        <v>30</v>
      </c>
      <c r="AB935" s="7" t="n">
        <v>80</v>
      </c>
      <c r="AD935" s="7" t="n">
        <v>90</v>
      </c>
    </row>
    <row r="936" customFormat="false" ht="15" hidden="false" customHeight="false" outlineLevel="0" collapsed="false">
      <c r="B936" s="8" t="s">
        <v>971</v>
      </c>
      <c r="C936" s="7" t="n">
        <v>30</v>
      </c>
      <c r="AB936" s="7" t="n">
        <v>80</v>
      </c>
      <c r="AD936" s="7" t="n">
        <v>80</v>
      </c>
    </row>
    <row r="937" customFormat="false" ht="15" hidden="false" customHeight="false" outlineLevel="0" collapsed="false">
      <c r="B937" s="8" t="s">
        <v>972</v>
      </c>
      <c r="C937" s="7" t="n">
        <v>20</v>
      </c>
      <c r="AB937" s="7" t="n">
        <v>90</v>
      </c>
      <c r="AD937" s="7" t="n">
        <v>80</v>
      </c>
    </row>
    <row r="938" customFormat="false" ht="15" hidden="false" customHeight="false" outlineLevel="0" collapsed="false">
      <c r="B938" s="8" t="s">
        <v>973</v>
      </c>
      <c r="C938" s="7" t="n">
        <v>20</v>
      </c>
      <c r="AB938" s="7" t="n">
        <v>80</v>
      </c>
      <c r="AD938" s="7" t="n">
        <v>80</v>
      </c>
    </row>
    <row r="939" customFormat="false" ht="15" hidden="false" customHeight="false" outlineLevel="0" collapsed="false">
      <c r="B939" s="8" t="s">
        <v>974</v>
      </c>
      <c r="C939" s="7" t="n">
        <v>20</v>
      </c>
      <c r="AB939" s="7" t="n">
        <v>80</v>
      </c>
      <c r="AD939" s="7" t="n">
        <v>80</v>
      </c>
    </row>
    <row r="940" customFormat="false" ht="15" hidden="false" customHeight="false" outlineLevel="0" collapsed="false">
      <c r="B940" s="8" t="s">
        <v>975</v>
      </c>
      <c r="C940" s="7" t="n">
        <v>30</v>
      </c>
      <c r="AB940" s="7" t="n">
        <v>80</v>
      </c>
      <c r="AD940" s="7" t="n">
        <v>0</v>
      </c>
    </row>
    <row r="941" customFormat="false" ht="15" hidden="false" customHeight="false" outlineLevel="0" collapsed="false">
      <c r="B941" s="8" t="s">
        <v>976</v>
      </c>
      <c r="C941" s="7" t="n">
        <v>30</v>
      </c>
      <c r="AB941" s="7" t="n">
        <v>80</v>
      </c>
      <c r="AD941" s="7" t="n">
        <v>30</v>
      </c>
    </row>
    <row r="942" customFormat="false" ht="15" hidden="false" customHeight="false" outlineLevel="0" collapsed="false">
      <c r="B942" s="8" t="s">
        <v>977</v>
      </c>
      <c r="C942" s="7" t="n">
        <v>30</v>
      </c>
      <c r="AB942" s="7" t="n">
        <v>0</v>
      </c>
      <c r="AD942" s="7" t="n">
        <v>130</v>
      </c>
    </row>
    <row r="943" customFormat="false" ht="15" hidden="false" customHeight="false" outlineLevel="0" collapsed="false">
      <c r="B943" s="8" t="s">
        <v>978</v>
      </c>
      <c r="C943" s="7" t="n">
        <v>30</v>
      </c>
      <c r="AB943" s="7" t="n">
        <v>30</v>
      </c>
      <c r="AD943" s="7" t="n">
        <v>260</v>
      </c>
    </row>
    <row r="944" customFormat="false" ht="15" hidden="false" customHeight="false" outlineLevel="0" collapsed="false">
      <c r="B944" s="8" t="s">
        <v>979</v>
      </c>
      <c r="C944" s="7" t="n">
        <v>0</v>
      </c>
      <c r="AB944" s="7" t="n">
        <v>60</v>
      </c>
      <c r="AD944" s="7" t="n">
        <v>130</v>
      </c>
    </row>
    <row r="945" customFormat="false" ht="15" hidden="false" customHeight="false" outlineLevel="0" collapsed="false">
      <c r="B945" s="8" t="s">
        <v>980</v>
      </c>
      <c r="C945" s="7" t="n">
        <v>60</v>
      </c>
      <c r="AB945" s="7" t="n">
        <v>130</v>
      </c>
      <c r="AD945" s="7" t="n">
        <v>30</v>
      </c>
    </row>
    <row r="946" customFormat="false" ht="15" hidden="false" customHeight="false" outlineLevel="0" collapsed="false">
      <c r="B946" s="8" t="s">
        <v>981</v>
      </c>
      <c r="C946" s="7" t="n">
        <v>0</v>
      </c>
      <c r="AB946" s="7" t="n">
        <v>260</v>
      </c>
      <c r="AD946" s="7" t="n">
        <v>30</v>
      </c>
    </row>
    <row r="947" customFormat="false" ht="15" hidden="false" customHeight="false" outlineLevel="0" collapsed="false">
      <c r="B947" s="8" t="s">
        <v>982</v>
      </c>
      <c r="C947" s="7" t="n">
        <v>60</v>
      </c>
      <c r="AB947" s="7" t="n">
        <v>260</v>
      </c>
      <c r="AD947" s="7" t="n">
        <v>30</v>
      </c>
    </row>
    <row r="948" customFormat="false" ht="15" hidden="false" customHeight="false" outlineLevel="0" collapsed="false">
      <c r="B948" s="8" t="s">
        <v>983</v>
      </c>
      <c r="C948" s="7" t="n">
        <v>60</v>
      </c>
      <c r="AB948" s="7" t="n">
        <v>130</v>
      </c>
      <c r="AD948" s="7" t="n">
        <v>30</v>
      </c>
    </row>
    <row r="949" customFormat="false" ht="15" hidden="false" customHeight="false" outlineLevel="0" collapsed="false">
      <c r="B949" s="10" t="s">
        <v>984</v>
      </c>
      <c r="C949" s="7" t="n">
        <v>120</v>
      </c>
      <c r="AB949" s="7" t="n">
        <v>130</v>
      </c>
      <c r="AD949" s="7"/>
    </row>
    <row r="950" customFormat="false" ht="15" hidden="false" customHeight="false" outlineLevel="0" collapsed="false">
      <c r="B950" s="10" t="s">
        <v>985</v>
      </c>
      <c r="C950" s="7" t="n">
        <v>120</v>
      </c>
      <c r="AB950" s="7" t="n">
        <v>30</v>
      </c>
      <c r="AD950" s="7" t="n">
        <v>30</v>
      </c>
    </row>
    <row r="951" customFormat="false" ht="15" hidden="false" customHeight="false" outlineLevel="0" collapsed="false">
      <c r="B951" s="10" t="s">
        <v>986</v>
      </c>
      <c r="C951" s="7" t="n">
        <v>100</v>
      </c>
      <c r="AB951" s="7" t="n">
        <v>30</v>
      </c>
      <c r="AD951" s="7" t="n">
        <v>30</v>
      </c>
    </row>
    <row r="952" customFormat="false" ht="15" hidden="false" customHeight="false" outlineLevel="0" collapsed="false">
      <c r="B952" s="8" t="s">
        <v>987</v>
      </c>
      <c r="C952" s="7" t="n">
        <v>0</v>
      </c>
      <c r="AB952" s="7" t="n">
        <v>30</v>
      </c>
      <c r="AD952" s="7"/>
    </row>
    <row r="953" customFormat="false" ht="15" hidden="false" customHeight="false" outlineLevel="0" collapsed="false">
      <c r="B953" s="10" t="s">
        <v>988</v>
      </c>
      <c r="C953" s="7" t="n">
        <v>60</v>
      </c>
      <c r="AB953" s="7"/>
      <c r="AD953" s="7"/>
    </row>
    <row r="954" customFormat="false" ht="15" hidden="false" customHeight="false" outlineLevel="0" collapsed="false">
      <c r="B954" s="10" t="s">
        <v>989</v>
      </c>
      <c r="C954" s="7" t="n">
        <v>60</v>
      </c>
      <c r="AB954" s="7" t="n">
        <v>30</v>
      </c>
      <c r="AD954" s="7" t="n">
        <v>30</v>
      </c>
    </row>
    <row r="955" customFormat="false" ht="15" hidden="false" customHeight="false" outlineLevel="0" collapsed="false">
      <c r="B955" s="8" t="s">
        <v>990</v>
      </c>
      <c r="C955" s="7" t="n">
        <v>60</v>
      </c>
      <c r="AB955" s="7"/>
    </row>
    <row r="956" customFormat="false" ht="15" hidden="false" customHeight="false" outlineLevel="0" collapsed="false">
      <c r="B956" s="10" t="s">
        <v>991</v>
      </c>
      <c r="C956" s="7" t="n">
        <v>60</v>
      </c>
      <c r="AB956" s="7" t="n">
        <v>30</v>
      </c>
    </row>
    <row r="957" customFormat="false" ht="15" hidden="false" customHeight="false" outlineLevel="0" collapsed="false">
      <c r="B957" s="10" t="s">
        <v>992</v>
      </c>
      <c r="C957" s="7" t="n">
        <v>60</v>
      </c>
      <c r="AB957" s="7"/>
    </row>
    <row r="958" customFormat="false" ht="15" hidden="false" customHeight="false" outlineLevel="0" collapsed="false">
      <c r="B958" s="10" t="s">
        <v>993</v>
      </c>
      <c r="C958" s="7" t="n">
        <v>100</v>
      </c>
      <c r="AB958" s="7" t="n">
        <v>30</v>
      </c>
    </row>
    <row r="959" customFormat="false" ht="15" hidden="false" customHeight="false" outlineLevel="0" collapsed="false">
      <c r="B959" s="10" t="s">
        <v>994</v>
      </c>
      <c r="C959" s="7" t="n">
        <v>100</v>
      </c>
      <c r="AB959" s="7" t="n">
        <v>30</v>
      </c>
    </row>
    <row r="960" customFormat="false" ht="15" hidden="false" customHeight="false" outlineLevel="0" collapsed="false">
      <c r="B960" s="10" t="s">
        <v>995</v>
      </c>
      <c r="C960" s="7" t="n">
        <v>100</v>
      </c>
      <c r="AB960" s="7"/>
    </row>
    <row r="961" customFormat="false" ht="15" hidden="false" customHeight="false" outlineLevel="0" collapsed="false">
      <c r="B961" s="10" t="s">
        <v>996</v>
      </c>
      <c r="C961" s="7" t="n">
        <v>100</v>
      </c>
      <c r="AB961" s="7" t="n">
        <v>30</v>
      </c>
    </row>
    <row r="962" customFormat="false" ht="15" hidden="false" customHeight="false" outlineLevel="0" collapsed="false">
      <c r="B962" s="10" t="s">
        <v>997</v>
      </c>
      <c r="C962" s="7" t="n">
        <v>60</v>
      </c>
      <c r="AB962" s="7"/>
    </row>
    <row r="963" customFormat="false" ht="15" hidden="false" customHeight="false" outlineLevel="0" collapsed="false">
      <c r="B963" s="10" t="s">
        <v>998</v>
      </c>
      <c r="C963" s="7" t="n">
        <v>0</v>
      </c>
      <c r="AB963" s="7" t="n">
        <v>30</v>
      </c>
    </row>
    <row r="964" customFormat="false" ht="15" hidden="false" customHeight="false" outlineLevel="0" collapsed="false">
      <c r="B964" s="10" t="s">
        <v>999</v>
      </c>
      <c r="C964" s="7" t="n">
        <v>60</v>
      </c>
      <c r="AB964" s="7" t="n">
        <v>30</v>
      </c>
    </row>
    <row r="965" customFormat="false" ht="15" hidden="false" customHeight="false" outlineLevel="0" collapsed="false">
      <c r="B965" s="10" t="s">
        <v>1000</v>
      </c>
      <c r="C965" s="7" t="n">
        <v>120</v>
      </c>
      <c r="AB965" s="7" t="n">
        <v>30</v>
      </c>
    </row>
    <row r="966" customFormat="false" ht="15" hidden="false" customHeight="false" outlineLevel="0" collapsed="false">
      <c r="B966" s="10" t="s">
        <v>1001</v>
      </c>
      <c r="C966" s="7" t="n">
        <v>60</v>
      </c>
      <c r="AB966" s="7"/>
    </row>
    <row r="967" customFormat="false" ht="15" hidden="false" customHeight="false" outlineLevel="0" collapsed="false">
      <c r="B967" s="10" t="s">
        <v>1002</v>
      </c>
      <c r="C967" s="7" t="n">
        <v>60</v>
      </c>
      <c r="AB967" s="7"/>
    </row>
    <row r="968" customFormat="false" ht="15" hidden="false" customHeight="false" outlineLevel="0" collapsed="false">
      <c r="B968" s="10" t="s">
        <v>1003</v>
      </c>
      <c r="C968" s="7" t="n">
        <v>60</v>
      </c>
    </row>
    <row r="969" customFormat="false" ht="15" hidden="false" customHeight="false" outlineLevel="0" collapsed="false">
      <c r="B969" s="10" t="s">
        <v>1004</v>
      </c>
      <c r="C969" s="7" t="n">
        <v>100</v>
      </c>
    </row>
    <row r="970" customFormat="false" ht="15" hidden="false" customHeight="false" outlineLevel="0" collapsed="false">
      <c r="B970" s="10" t="s">
        <v>1005</v>
      </c>
      <c r="C970" s="7" t="n">
        <v>100</v>
      </c>
    </row>
    <row r="971" customFormat="false" ht="15" hidden="false" customHeight="false" outlineLevel="0" collapsed="false">
      <c r="B971" s="10" t="s">
        <v>1006</v>
      </c>
      <c r="C971" s="7" t="n">
        <v>60</v>
      </c>
    </row>
    <row r="972" customFormat="false" ht="15" hidden="false" customHeight="false" outlineLevel="0" collapsed="false">
      <c r="B972" s="8" t="s">
        <v>1007</v>
      </c>
      <c r="C972" s="7" t="n">
        <v>0</v>
      </c>
    </row>
    <row r="973" customFormat="false" ht="15" hidden="false" customHeight="false" outlineLevel="0" collapsed="false">
      <c r="B973" s="10" t="s">
        <v>1008</v>
      </c>
      <c r="C973" s="7" t="n">
        <v>60</v>
      </c>
    </row>
    <row r="974" customFormat="false" ht="15" hidden="false" customHeight="false" outlineLevel="0" collapsed="false">
      <c r="B974" s="10" t="s">
        <v>1009</v>
      </c>
      <c r="C974" s="7" t="n">
        <v>240</v>
      </c>
    </row>
    <row r="975" customFormat="false" ht="15" hidden="false" customHeight="false" outlineLevel="0" collapsed="false">
      <c r="B975" s="10" t="s">
        <v>1010</v>
      </c>
      <c r="C975" s="7" t="n">
        <v>0</v>
      </c>
    </row>
    <row r="976" customFormat="false" ht="15" hidden="false" customHeight="false" outlineLevel="0" collapsed="false">
      <c r="B976" s="8" t="s">
        <v>1011</v>
      </c>
      <c r="C976" s="7" t="n">
        <v>60</v>
      </c>
    </row>
    <row r="977" customFormat="false" ht="15" hidden="false" customHeight="false" outlineLevel="0" collapsed="false">
      <c r="B977" s="10" t="s">
        <v>1012</v>
      </c>
      <c r="C977" s="7" t="n">
        <v>60</v>
      </c>
    </row>
    <row r="978" customFormat="false" ht="15" hidden="false" customHeight="false" outlineLevel="0" collapsed="false">
      <c r="B978" s="10" t="s">
        <v>1013</v>
      </c>
      <c r="C978" s="7" t="n">
        <v>60</v>
      </c>
    </row>
    <row r="979" customFormat="false" ht="15" hidden="false" customHeight="false" outlineLevel="0" collapsed="false">
      <c r="B979" s="10" t="s">
        <v>1014</v>
      </c>
      <c r="C979" s="7" t="n">
        <v>60</v>
      </c>
    </row>
    <row r="980" customFormat="false" ht="15" hidden="false" customHeight="false" outlineLevel="0" collapsed="false">
      <c r="B980" s="10" t="s">
        <v>1015</v>
      </c>
      <c r="C980" s="7" t="n">
        <v>60</v>
      </c>
    </row>
    <row r="981" customFormat="false" ht="15" hidden="false" customHeight="false" outlineLevel="0" collapsed="false">
      <c r="B981" s="8" t="s">
        <v>1016</v>
      </c>
      <c r="C981" s="7" t="n">
        <v>90</v>
      </c>
    </row>
    <row r="982" customFormat="false" ht="15" hidden="false" customHeight="false" outlineLevel="0" collapsed="false">
      <c r="B982" s="8" t="s">
        <v>1017</v>
      </c>
      <c r="C982" s="7" t="n">
        <v>90</v>
      </c>
    </row>
    <row r="983" customFormat="false" ht="15" hidden="false" customHeight="false" outlineLevel="0" collapsed="false">
      <c r="B983" s="8" t="s">
        <v>1018</v>
      </c>
      <c r="C983" s="7" t="n">
        <v>80</v>
      </c>
    </row>
    <row r="984" customFormat="false" ht="15" hidden="false" customHeight="false" outlineLevel="0" collapsed="false">
      <c r="B984" s="8" t="s">
        <v>1019</v>
      </c>
      <c r="C984" s="7" t="n">
        <v>80</v>
      </c>
    </row>
    <row r="985" customFormat="false" ht="15" hidden="false" customHeight="false" outlineLevel="0" collapsed="false">
      <c r="B985" s="8" t="s">
        <v>1020</v>
      </c>
      <c r="C985" s="7" t="n">
        <v>80</v>
      </c>
    </row>
    <row r="986" customFormat="false" ht="15" hidden="false" customHeight="false" outlineLevel="0" collapsed="false">
      <c r="B986" s="8" t="s">
        <v>1021</v>
      </c>
      <c r="C986" s="7" t="n">
        <v>80</v>
      </c>
    </row>
    <row r="987" customFormat="false" ht="15" hidden="false" customHeight="false" outlineLevel="0" collapsed="false">
      <c r="B987" s="8" t="s">
        <v>1022</v>
      </c>
      <c r="C987" s="7" t="n">
        <v>80</v>
      </c>
    </row>
    <row r="988" customFormat="false" ht="15" hidden="false" customHeight="false" outlineLevel="0" collapsed="false">
      <c r="B988" s="8" t="s">
        <v>1023</v>
      </c>
      <c r="C988" s="7" t="n">
        <v>90</v>
      </c>
    </row>
    <row r="989" customFormat="false" ht="15" hidden="false" customHeight="false" outlineLevel="0" collapsed="false">
      <c r="B989" s="8" t="s">
        <v>1024</v>
      </c>
      <c r="C989" s="7" t="n">
        <v>90</v>
      </c>
    </row>
    <row r="990" customFormat="false" ht="15" hidden="false" customHeight="false" outlineLevel="0" collapsed="false">
      <c r="B990" s="8" t="s">
        <v>1025</v>
      </c>
      <c r="C990" s="7" t="n">
        <v>90</v>
      </c>
    </row>
    <row r="991" customFormat="false" ht="15" hidden="false" customHeight="false" outlineLevel="0" collapsed="false">
      <c r="B991" s="8" t="s">
        <v>1026</v>
      </c>
      <c r="C991" s="7" t="n">
        <v>90</v>
      </c>
    </row>
    <row r="992" customFormat="false" ht="15" hidden="false" customHeight="false" outlineLevel="0" collapsed="false">
      <c r="B992" s="8" t="s">
        <v>1027</v>
      </c>
      <c r="C992" s="7" t="n">
        <v>80</v>
      </c>
    </row>
    <row r="993" customFormat="false" ht="15" hidden="false" customHeight="false" outlineLevel="0" collapsed="false">
      <c r="B993" s="8" t="s">
        <v>1028</v>
      </c>
      <c r="C993" s="7" t="n">
        <v>80</v>
      </c>
    </row>
    <row r="994" customFormat="false" ht="15" hidden="false" customHeight="false" outlineLevel="0" collapsed="false">
      <c r="B994" s="8" t="s">
        <v>1029</v>
      </c>
      <c r="C994" s="7" t="n">
        <v>80</v>
      </c>
    </row>
    <row r="995" customFormat="false" ht="15" hidden="false" customHeight="false" outlineLevel="0" collapsed="false">
      <c r="B995" s="8" t="s">
        <v>1030</v>
      </c>
      <c r="C995" s="7" t="n">
        <v>80</v>
      </c>
    </row>
    <row r="996" customFormat="false" ht="15" hidden="false" customHeight="false" outlineLevel="0" collapsed="false">
      <c r="B996" s="8" t="s">
        <v>1031</v>
      </c>
      <c r="C996" s="7" t="n">
        <v>0</v>
      </c>
    </row>
    <row r="997" customFormat="false" ht="15" hidden="false" customHeight="false" outlineLevel="0" collapsed="false">
      <c r="B997" s="8" t="s">
        <v>1032</v>
      </c>
      <c r="C997" s="7" t="n">
        <v>20</v>
      </c>
    </row>
    <row r="998" customFormat="false" ht="15" hidden="false" customHeight="false" outlineLevel="0" collapsed="false">
      <c r="B998" s="8" t="s">
        <v>1033</v>
      </c>
      <c r="C998" s="7" t="n">
        <v>30</v>
      </c>
    </row>
    <row r="999" customFormat="false" ht="15" hidden="false" customHeight="false" outlineLevel="0" collapsed="false">
      <c r="B999" s="8" t="s">
        <v>1034</v>
      </c>
      <c r="C999" s="7" t="n">
        <v>50</v>
      </c>
    </row>
    <row r="1000" customFormat="false" ht="15" hidden="false" customHeight="false" outlineLevel="0" collapsed="false">
      <c r="B1000" s="8" t="s">
        <v>1035</v>
      </c>
      <c r="C1000" s="7" t="n">
        <v>50</v>
      </c>
    </row>
    <row r="1001" customFormat="false" ht="15" hidden="false" customHeight="false" outlineLevel="0" collapsed="false">
      <c r="B1001" s="8" t="s">
        <v>1036</v>
      </c>
      <c r="C1001" s="7" t="n">
        <v>70</v>
      </c>
    </row>
    <row r="1002" customFormat="false" ht="15" hidden="false" customHeight="false" outlineLevel="0" collapsed="false">
      <c r="B1002" s="8" t="s">
        <v>1037</v>
      </c>
      <c r="C1002" s="7" t="n">
        <v>40</v>
      </c>
    </row>
    <row r="1003" customFormat="false" ht="15" hidden="false" customHeight="false" outlineLevel="0" collapsed="false">
      <c r="B1003" s="8" t="s">
        <v>1038</v>
      </c>
      <c r="C1003" s="7" t="n">
        <v>40</v>
      </c>
    </row>
    <row r="1004" customFormat="false" ht="15" hidden="false" customHeight="false" outlineLevel="0" collapsed="false">
      <c r="B1004" s="8" t="s">
        <v>1039</v>
      </c>
      <c r="C1004" s="7" t="n">
        <v>40</v>
      </c>
    </row>
    <row r="1005" customFormat="false" ht="15" hidden="false" customHeight="false" outlineLevel="0" collapsed="false">
      <c r="B1005" s="8" t="s">
        <v>1040</v>
      </c>
      <c r="C1005" s="7" t="n">
        <v>80</v>
      </c>
    </row>
    <row r="1006" customFormat="false" ht="15" hidden="false" customHeight="false" outlineLevel="0" collapsed="false">
      <c r="B1006" s="8" t="s">
        <v>1041</v>
      </c>
      <c r="C1006" s="7" t="n">
        <v>80</v>
      </c>
    </row>
    <row r="1007" customFormat="false" ht="15" hidden="false" customHeight="false" outlineLevel="0" collapsed="false">
      <c r="B1007" s="8" t="s">
        <v>1042</v>
      </c>
      <c r="C1007" s="7" t="n">
        <v>80</v>
      </c>
    </row>
    <row r="1008" customFormat="false" ht="15" hidden="false" customHeight="false" outlineLevel="0" collapsed="false">
      <c r="B1008" s="8" t="s">
        <v>1043</v>
      </c>
      <c r="C1008" s="7" t="n">
        <v>80</v>
      </c>
    </row>
    <row r="1009" customFormat="false" ht="15" hidden="false" customHeight="false" outlineLevel="0" collapsed="false">
      <c r="B1009" s="8" t="s">
        <v>1044</v>
      </c>
      <c r="C1009" s="7" t="n">
        <v>90</v>
      </c>
    </row>
    <row r="1010" customFormat="false" ht="15" hidden="false" customHeight="false" outlineLevel="0" collapsed="false">
      <c r="B1010" s="8" t="s">
        <v>1045</v>
      </c>
      <c r="C1010" s="7" t="n">
        <v>80</v>
      </c>
    </row>
    <row r="1011" customFormat="false" ht="15" hidden="false" customHeight="false" outlineLevel="0" collapsed="false">
      <c r="B1011" s="8" t="s">
        <v>1046</v>
      </c>
      <c r="C1011" s="7" t="n">
        <v>80</v>
      </c>
    </row>
    <row r="1012" customFormat="false" ht="15" hidden="false" customHeight="false" outlineLevel="0" collapsed="false">
      <c r="B1012" s="8" t="s">
        <v>1047</v>
      </c>
      <c r="C1012" s="7" t="n">
        <v>80</v>
      </c>
    </row>
    <row r="1013" customFormat="false" ht="15" hidden="false" customHeight="false" outlineLevel="0" collapsed="false">
      <c r="B1013" s="8" t="s">
        <v>1048</v>
      </c>
      <c r="C1013" s="7" t="n">
        <v>80</v>
      </c>
    </row>
    <row r="1014" customFormat="false" ht="15" hidden="false" customHeight="false" outlineLevel="0" collapsed="false">
      <c r="B1014" s="8" t="s">
        <v>1049</v>
      </c>
      <c r="C1014" s="7" t="n">
        <v>0</v>
      </c>
    </row>
    <row r="1015" customFormat="false" ht="15" hidden="false" customHeight="false" outlineLevel="0" collapsed="false">
      <c r="B1015" s="10" t="s">
        <v>1050</v>
      </c>
      <c r="C1015" s="7" t="n">
        <v>0</v>
      </c>
    </row>
    <row r="1016" customFormat="false" ht="15" hidden="false" customHeight="false" outlineLevel="0" collapsed="false">
      <c r="B1016" s="8" t="s">
        <v>1051</v>
      </c>
      <c r="C1016" s="7" t="n">
        <v>30</v>
      </c>
    </row>
    <row r="1017" customFormat="false" ht="15" hidden="false" customHeight="false" outlineLevel="0" collapsed="false">
      <c r="B1017" s="8" t="s">
        <v>1051</v>
      </c>
      <c r="C1017" s="7" t="n">
        <v>60</v>
      </c>
    </row>
    <row r="1018" customFormat="false" ht="15" hidden="false" customHeight="false" outlineLevel="0" collapsed="false">
      <c r="B1018" s="8" t="s">
        <v>1052</v>
      </c>
      <c r="C1018" s="7" t="n">
        <v>240</v>
      </c>
    </row>
    <row r="1019" customFormat="false" ht="15" hidden="false" customHeight="false" outlineLevel="0" collapsed="false">
      <c r="B1019" s="8" t="s">
        <v>1053</v>
      </c>
      <c r="C1019" s="7" t="n">
        <v>130</v>
      </c>
    </row>
    <row r="1020" customFormat="false" ht="15" hidden="false" customHeight="false" outlineLevel="0" collapsed="false">
      <c r="B1020" s="8" t="s">
        <v>1053</v>
      </c>
      <c r="C1020" s="7" t="n">
        <v>260</v>
      </c>
    </row>
    <row r="1021" customFormat="false" ht="15" hidden="false" customHeight="false" outlineLevel="0" collapsed="false">
      <c r="B1021" s="10" t="s">
        <v>1054</v>
      </c>
      <c r="C1021" s="7" t="n">
        <v>240</v>
      </c>
    </row>
    <row r="1022" customFormat="false" ht="15" hidden="false" customHeight="false" outlineLevel="0" collapsed="false">
      <c r="B1022" s="8" t="s">
        <v>1055</v>
      </c>
      <c r="C1022" s="7" t="n">
        <v>240</v>
      </c>
    </row>
    <row r="1023" customFormat="false" ht="15" hidden="false" customHeight="false" outlineLevel="0" collapsed="false">
      <c r="B1023" s="8" t="s">
        <v>1056</v>
      </c>
      <c r="C1023" s="7" t="n">
        <v>130</v>
      </c>
    </row>
    <row r="1024" customFormat="false" ht="15" hidden="false" customHeight="false" outlineLevel="0" collapsed="false">
      <c r="B1024" s="8" t="s">
        <v>1057</v>
      </c>
      <c r="C1024" s="7" t="n">
        <v>30</v>
      </c>
    </row>
    <row r="1025" customFormat="false" ht="15" hidden="false" customHeight="false" outlineLevel="0" collapsed="false">
      <c r="B1025" s="8" t="s">
        <v>1058</v>
      </c>
      <c r="C1025" s="7" t="n">
        <v>240</v>
      </c>
    </row>
    <row r="1026" customFormat="false" ht="15" hidden="false" customHeight="false" outlineLevel="0" collapsed="false">
      <c r="B1026" s="8" t="s">
        <v>1059</v>
      </c>
      <c r="C1026" s="7" t="n">
        <v>30</v>
      </c>
    </row>
    <row r="1027" customFormat="false" ht="15" hidden="false" customHeight="false" outlineLevel="0" collapsed="false">
      <c r="B1027" s="8" t="s">
        <v>1060</v>
      </c>
      <c r="C1027" s="7" t="n">
        <v>240</v>
      </c>
    </row>
    <row r="1028" customFormat="false" ht="15" hidden="false" customHeight="false" outlineLevel="0" collapsed="false">
      <c r="B1028" s="8" t="s">
        <v>1061</v>
      </c>
      <c r="C1028" s="7" t="n">
        <v>30</v>
      </c>
    </row>
    <row r="1029" customFormat="false" ht="15" hidden="false" customHeight="false" outlineLevel="0" collapsed="false">
      <c r="B1029" s="8" t="s">
        <v>1062</v>
      </c>
      <c r="C1029" s="7" t="n">
        <v>30</v>
      </c>
    </row>
    <row r="1030" customFormat="false" ht="15" hidden="false" customHeight="false" outlineLevel="0" collapsed="false">
      <c r="B1030" s="8" t="s">
        <v>1063</v>
      </c>
      <c r="C1030" s="7" t="n">
        <v>60</v>
      </c>
    </row>
    <row r="1031" customFormat="false" ht="15" hidden="false" customHeight="false" outlineLevel="0" collapsed="false">
      <c r="B1031" s="8" t="s">
        <v>1064</v>
      </c>
      <c r="C1031" s="7" t="n">
        <v>30</v>
      </c>
    </row>
    <row r="1032" customFormat="false" ht="15" hidden="false" customHeight="false" outlineLevel="0" collapsed="false">
      <c r="B1032" s="8" t="s">
        <v>1065</v>
      </c>
      <c r="C1032" s="7" t="n">
        <v>30</v>
      </c>
    </row>
    <row r="1033" customFormat="false" ht="15" hidden="false" customHeight="false" outlineLevel="0" collapsed="false">
      <c r="B1033" s="8" t="s">
        <v>1066</v>
      </c>
      <c r="C1033" s="7" t="n">
        <v>60</v>
      </c>
    </row>
    <row r="1034" customFormat="false" ht="15" hidden="false" customHeight="false" outlineLevel="0" collapsed="false">
      <c r="B1034" s="8" t="s">
        <v>1067</v>
      </c>
      <c r="C1034" s="7" t="n">
        <v>30</v>
      </c>
    </row>
    <row r="1035" customFormat="false" ht="15" hidden="false" customHeight="false" outlineLevel="0" collapsed="false">
      <c r="B1035" s="8" t="s">
        <v>1068</v>
      </c>
      <c r="C1035" s="7" t="n">
        <v>60</v>
      </c>
    </row>
    <row r="1036" customFormat="false" ht="15" hidden="false" customHeight="false" outlineLevel="0" collapsed="false">
      <c r="B1036" s="8" t="s">
        <v>1069</v>
      </c>
      <c r="C1036" s="7" t="n">
        <v>60</v>
      </c>
    </row>
    <row r="1037" customFormat="false" ht="15" hidden="false" customHeight="false" outlineLevel="0" collapsed="false">
      <c r="B1037" s="8" t="s">
        <v>1070</v>
      </c>
      <c r="C1037" s="7" t="n">
        <v>30</v>
      </c>
    </row>
    <row r="1038" customFormat="false" ht="15" hidden="false" customHeight="false" outlineLevel="0" collapsed="false">
      <c r="B1038" s="8" t="s">
        <v>1071</v>
      </c>
      <c r="C1038" s="7" t="n">
        <v>30</v>
      </c>
    </row>
    <row r="1039" customFormat="false" ht="15" hidden="false" customHeight="false" outlineLevel="0" collapsed="false">
      <c r="B1039" s="8" t="s">
        <v>1072</v>
      </c>
      <c r="C1039" s="7" t="n">
        <v>30</v>
      </c>
    </row>
  </sheetData>
  <autoFilter ref="B1:C998"/>
  <conditionalFormatting sqref="B2:B891">
    <cfRule type="duplicateValues" priority="2" aboveAverage="0" equalAverage="0" bottom="0" percent="0" rank="0" text="" dxfId="9"/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" defaultRowHeight="12.8" customHeight="tru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" defaultRowHeight="12.8" customHeight="tru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01"/>
  <sheetViews>
    <sheetView showFormulas="false" showGridLines="false" showRowColHeaders="true" showZeros="true" rightToLeft="false" tabSelected="false" showOutlineSymbols="true" defaultGridColor="true" view="normal" topLeftCell="H28" colorId="64" zoomScale="90" zoomScaleNormal="90" zoomScalePageLayoutView="100" workbookViewId="0">
      <selection pane="topLeft" activeCell="Q40" activeCellId="0" sqref="Q40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7" width="9.14"/>
    <col collapsed="false" customWidth="true" hidden="false" outlineLevel="0" max="2" min="2" style="7" width="18.57"/>
    <col collapsed="false" customWidth="true" hidden="false" outlineLevel="0" max="4" min="3" style="7" width="9.14"/>
    <col collapsed="false" customWidth="true" hidden="false" outlineLevel="0" max="5" min="5" style="7" width="15.86"/>
    <col collapsed="false" customWidth="true" hidden="false" outlineLevel="0" max="6" min="6" style="7" width="16.43"/>
    <col collapsed="false" customWidth="true" hidden="false" outlineLevel="0" max="7" min="7" style="7" width="14.86"/>
    <col collapsed="false" customWidth="true" hidden="false" outlineLevel="0" max="12" min="12" style="7" width="20.28"/>
    <col collapsed="false" customWidth="true" hidden="false" outlineLevel="0" max="13" min="13" style="7" width="16.14"/>
    <col collapsed="false" customWidth="true" hidden="false" outlineLevel="0" max="14" min="14" style="7" width="23.14"/>
    <col collapsed="false" customWidth="true" hidden="false" outlineLevel="0" max="15" min="15" style="0" width="21"/>
  </cols>
  <sheetData>
    <row r="1" customFormat="false" ht="15" hidden="false" customHeight="false" outlineLevel="0" collapsed="false">
      <c r="A1" s="9" t="s">
        <v>1073</v>
      </c>
      <c r="B1" s="9" t="s">
        <v>1074</v>
      </c>
      <c r="C1" s="9" t="s">
        <v>1075</v>
      </c>
      <c r="D1" s="9" t="s">
        <v>1076</v>
      </c>
      <c r="E1" s="9" t="s">
        <v>1077</v>
      </c>
      <c r="F1" s="9" t="s">
        <v>35</v>
      </c>
      <c r="G1" s="9" t="s">
        <v>1078</v>
      </c>
    </row>
    <row r="2" customFormat="false" ht="15" hidden="false" customHeight="false" outlineLevel="0" collapsed="false">
      <c r="A2" s="11" t="n">
        <f aca="false">MONTH(B2)</f>
        <v>1</v>
      </c>
      <c r="B2" s="12" t="n">
        <v>45658.1001041667</v>
      </c>
      <c r="C2" s="7" t="s">
        <v>1079</v>
      </c>
      <c r="D2" s="7" t="s">
        <v>1080</v>
      </c>
      <c r="E2" s="13" t="n">
        <v>0.0465162037071423</v>
      </c>
      <c r="F2" s="7" t="str">
        <f aca="false">CONCATENATE(C2,"&gt;",D2)</f>
        <v>LLE150&gt;LLE170</v>
      </c>
      <c r="G2" s="7" t="n">
        <f aca="false">VLOOKUP(F2,De_Para!$B$2:$C$1500,2,0)</f>
        <v>60</v>
      </c>
    </row>
    <row r="3" customFormat="false" ht="15" hidden="false" customHeight="false" outlineLevel="0" collapsed="false">
      <c r="A3" s="11" t="n">
        <f aca="false">MONTH(B3)</f>
        <v>1</v>
      </c>
      <c r="B3" s="12" t="n">
        <v>45660.9897685185</v>
      </c>
      <c r="C3" s="7" t="s">
        <v>1080</v>
      </c>
      <c r="D3" s="7" t="s">
        <v>30</v>
      </c>
      <c r="E3" s="13" t="n">
        <v>0.0824652777810115</v>
      </c>
      <c r="F3" s="7" t="str">
        <f aca="false">CONCATENATE(C3,"&gt;",D3)</f>
        <v>LLE170&gt;K28200</v>
      </c>
      <c r="G3" s="7" t="n">
        <f aca="false">VLOOKUP(F3,De_Para!$B$2:$C$1500,2,0)</f>
        <v>60</v>
      </c>
      <c r="L3" s="14" t="s">
        <v>1073</v>
      </c>
      <c r="M3" s="15" t="s">
        <v>1081</v>
      </c>
      <c r="N3" s="16" t="s">
        <v>1082</v>
      </c>
      <c r="O3" s="17" t="s">
        <v>1083</v>
      </c>
    </row>
    <row r="4" customFormat="false" ht="15" hidden="false" customHeight="false" outlineLevel="0" collapsed="false">
      <c r="A4" s="11" t="n">
        <f aca="false">MONTH(B4)</f>
        <v>1</v>
      </c>
      <c r="B4" s="12" t="n">
        <v>45662.0670138889</v>
      </c>
      <c r="C4" s="7" t="s">
        <v>30</v>
      </c>
      <c r="D4" s="7" t="s">
        <v>1080</v>
      </c>
      <c r="E4" s="13" t="n">
        <v>0.715381944442925</v>
      </c>
      <c r="F4" s="7" t="str">
        <f aca="false">CONCATENATE(C4,"&gt;",D4)</f>
        <v>K28200&gt;LLE170</v>
      </c>
      <c r="G4" s="7" t="n">
        <f aca="false">VLOOKUP(F4,De_Para!$B$2:$C$1500,2,0)</f>
        <v>60</v>
      </c>
      <c r="L4" s="18" t="n">
        <v>1</v>
      </c>
      <c r="M4" s="19" t="n">
        <v>28</v>
      </c>
      <c r="N4" s="20" t="n">
        <v>1460</v>
      </c>
      <c r="O4" s="21" t="n">
        <f aca="false">GETPIVOTDATA("Soma de Perda estimada",$L$3,"Mês",1)*M28</f>
        <v>3160900</v>
      </c>
    </row>
    <row r="5" customFormat="false" ht="15" hidden="false" customHeight="false" outlineLevel="0" collapsed="false">
      <c r="A5" s="11" t="n">
        <f aca="false">MONTH(B5)</f>
        <v>1</v>
      </c>
      <c r="B5" s="12" t="n">
        <v>45662.9749305556</v>
      </c>
      <c r="C5" s="7" t="s">
        <v>1080</v>
      </c>
      <c r="D5" s="7" t="s">
        <v>30</v>
      </c>
      <c r="E5" s="13" t="n">
        <v>0.0400462962934398</v>
      </c>
      <c r="F5" s="7" t="str">
        <f aca="false">CONCATENATE(C5,"&gt;",D5)</f>
        <v>LLE170&gt;K28200</v>
      </c>
      <c r="G5" s="7" t="n">
        <f aca="false">VLOOKUP(F5,De_Para!$B$2:$C$1500,2,0)</f>
        <v>60</v>
      </c>
      <c r="L5" s="22" t="n">
        <v>2</v>
      </c>
      <c r="M5" s="23" t="n">
        <v>27</v>
      </c>
      <c r="N5" s="24" t="n">
        <v>1430</v>
      </c>
      <c r="O5" s="21" t="n">
        <f aca="false">$M$28*GETPIVOTDATA("Soma de Perda estimada",$L$3,"Mês",L5)</f>
        <v>3095950</v>
      </c>
    </row>
    <row r="6" customFormat="false" ht="15" hidden="false" customHeight="false" outlineLevel="0" collapsed="false">
      <c r="A6" s="11" t="n">
        <f aca="false">MONTH(B6)</f>
        <v>1</v>
      </c>
      <c r="B6" s="12" t="n">
        <v>45664.7802314815</v>
      </c>
      <c r="C6" s="7" t="s">
        <v>1084</v>
      </c>
      <c r="D6" s="7" t="s">
        <v>1080</v>
      </c>
      <c r="E6" s="13" t="n">
        <v>0.0169560185240698</v>
      </c>
      <c r="F6" s="7" t="str">
        <f aca="false">CONCATENATE(C6,"&gt;",D6)</f>
        <v>LLE200&gt;LLE170</v>
      </c>
      <c r="G6" s="7" t="n">
        <f aca="false">VLOOKUP(F6,De_Para!$B$2:$C$1500,2,0)</f>
        <v>60</v>
      </c>
      <c r="L6" s="22" t="n">
        <v>3</v>
      </c>
      <c r="M6" s="23" t="n">
        <v>25</v>
      </c>
      <c r="N6" s="24" t="n">
        <v>1455</v>
      </c>
      <c r="O6" s="21" t="n">
        <f aca="false">$M$28*GETPIVOTDATA("Soma de Perda estimada",$L$3,"Mês",L6)</f>
        <v>3150075</v>
      </c>
    </row>
    <row r="7" customFormat="false" ht="15" hidden="false" customHeight="false" outlineLevel="0" collapsed="false">
      <c r="A7" s="11" t="n">
        <f aca="false">MONTH(B7)</f>
        <v>1</v>
      </c>
      <c r="B7" s="12" t="n">
        <v>45665.4171990741</v>
      </c>
      <c r="C7" s="7" t="s">
        <v>1080</v>
      </c>
      <c r="D7" s="7" t="s">
        <v>31</v>
      </c>
      <c r="E7" s="13" t="n">
        <v>0.0089120370321325</v>
      </c>
      <c r="F7" s="7" t="str">
        <f aca="false">CONCATENATE(C7,"&gt;",D7)</f>
        <v>LLE170&gt;LWE175</v>
      </c>
      <c r="G7" s="7" t="n">
        <f aca="false">VLOOKUP(F7,De_Para!$B$2:$C$1500,2,0)</f>
        <v>100</v>
      </c>
      <c r="L7" s="22" t="n">
        <v>4</v>
      </c>
      <c r="M7" s="23" t="n">
        <v>26</v>
      </c>
      <c r="N7" s="24" t="n">
        <v>1145</v>
      </c>
      <c r="O7" s="21" t="n">
        <f aca="false">$M$28*GETPIVOTDATA("Soma de Perda estimada",$L$3,"Mês",L7)</f>
        <v>2478925</v>
      </c>
    </row>
    <row r="8" customFormat="false" ht="15" hidden="false" customHeight="false" outlineLevel="0" collapsed="false">
      <c r="A8" s="11" t="n">
        <f aca="false">MONTH(B8)</f>
        <v>1</v>
      </c>
      <c r="B8" s="12" t="n">
        <v>45665.8862384259</v>
      </c>
      <c r="C8" s="7" t="s">
        <v>34</v>
      </c>
      <c r="D8" s="7" t="s">
        <v>1085</v>
      </c>
      <c r="E8" s="13" t="n">
        <v>0.0422453703722567</v>
      </c>
      <c r="F8" s="7" t="str">
        <f aca="false">CONCATENATE(C8,"&gt;",D8)</f>
        <v>EKW175&gt;EKW200</v>
      </c>
      <c r="G8" s="7" t="n">
        <f aca="false">VLOOKUP(F8,De_Para!$B$2:$C$1500,2,0)</f>
        <v>50</v>
      </c>
      <c r="L8" s="22" t="n">
        <v>5</v>
      </c>
      <c r="M8" s="23" t="n">
        <v>35</v>
      </c>
      <c r="N8" s="24" t="n">
        <v>2175</v>
      </c>
      <c r="O8" s="21" t="n">
        <f aca="false">$M$28*GETPIVOTDATA("Soma de Perda estimada",$L$3,"Mês",L8)</f>
        <v>4708875</v>
      </c>
    </row>
    <row r="9" customFormat="false" ht="15" hidden="false" customHeight="false" outlineLevel="0" collapsed="false">
      <c r="A9" s="11" t="n">
        <f aca="false">MONTH(B9)</f>
        <v>1</v>
      </c>
      <c r="B9" s="12" t="n">
        <v>45666.0825810185</v>
      </c>
      <c r="C9" s="7" t="s">
        <v>1085</v>
      </c>
      <c r="D9" s="7" t="s">
        <v>15</v>
      </c>
      <c r="E9" s="13" t="n">
        <v>0.112604166664823</v>
      </c>
      <c r="F9" s="7" t="str">
        <f aca="false">CONCATENATE(C9,"&gt;",D9)</f>
        <v>EKW200&gt;CKF205</v>
      </c>
      <c r="G9" s="7" t="n">
        <f aca="false">VLOOKUP(F9,De_Para!$B$2:$C$1500,2,0)</f>
        <v>50</v>
      </c>
      <c r="L9" s="22" t="n">
        <v>6</v>
      </c>
      <c r="M9" s="23" t="n">
        <v>18</v>
      </c>
      <c r="N9" s="24" t="n">
        <v>795</v>
      </c>
      <c r="O9" s="21" t="n">
        <f aca="false">$M$28*GETPIVOTDATA("Soma de Perda estimada",$L$3,"Mês",L9)</f>
        <v>1721175</v>
      </c>
    </row>
    <row r="10" customFormat="false" ht="15" hidden="false" customHeight="false" outlineLevel="0" collapsed="false">
      <c r="A10" s="11" t="n">
        <f aca="false">MONTH(B10)</f>
        <v>1</v>
      </c>
      <c r="B10" s="12" t="n">
        <v>45667.2143402778</v>
      </c>
      <c r="C10" s="7" t="s">
        <v>15</v>
      </c>
      <c r="D10" s="7" t="s">
        <v>1086</v>
      </c>
      <c r="E10" s="13" t="n">
        <v>0.00827546296204673</v>
      </c>
      <c r="F10" s="7" t="str">
        <f aca="false">CONCATENATE(C10,"&gt;",D10)</f>
        <v>CKF205&gt;KKL195</v>
      </c>
      <c r="G10" s="7" t="n">
        <f aca="false">VLOOKUP(F10,De_Para!$B$2:$C$1500,2,0)</f>
        <v>0</v>
      </c>
      <c r="L10" s="22" t="n">
        <v>7</v>
      </c>
      <c r="M10" s="23" t="n">
        <v>25</v>
      </c>
      <c r="N10" s="24" t="n">
        <v>1370</v>
      </c>
      <c r="O10" s="21" t="n">
        <f aca="false">$M$28*GETPIVOTDATA("Soma de Perda estimada",$L$3,"Mês",L10)</f>
        <v>2966050</v>
      </c>
    </row>
    <row r="11" customFormat="false" ht="15" hidden="false" customHeight="false" outlineLevel="0" collapsed="false">
      <c r="A11" s="11" t="n">
        <f aca="false">MONTH(B11)</f>
        <v>1</v>
      </c>
      <c r="B11" s="12" t="n">
        <v>45668.1366666667</v>
      </c>
      <c r="C11" s="7" t="s">
        <v>1086</v>
      </c>
      <c r="D11" s="7" t="s">
        <v>29</v>
      </c>
      <c r="E11" s="13" t="n">
        <v>0.0446180555518367</v>
      </c>
      <c r="F11" s="7" t="str">
        <f aca="false">CONCATENATE(C11,"&gt;",D11)</f>
        <v>KKL195&gt;K28170</v>
      </c>
      <c r="G11" s="7" t="n">
        <f aca="false">VLOOKUP(F11,De_Para!$B$2:$C$1500,2,0)</f>
        <v>30</v>
      </c>
      <c r="L11" s="22" t="n">
        <v>8</v>
      </c>
      <c r="M11" s="23" t="n">
        <v>21</v>
      </c>
      <c r="N11" s="24" t="n">
        <v>1255</v>
      </c>
      <c r="O11" s="21" t="n">
        <f aca="false">$M$28*GETPIVOTDATA("Soma de Perda estimada",$L$3,"Mês",L11)</f>
        <v>2717075</v>
      </c>
    </row>
    <row r="12" customFormat="false" ht="15" hidden="false" customHeight="false" outlineLevel="0" collapsed="false">
      <c r="A12" s="11" t="n">
        <f aca="false">MONTH(B12)</f>
        <v>1</v>
      </c>
      <c r="B12" s="12" t="n">
        <v>45669.1412268519</v>
      </c>
      <c r="C12" s="7" t="s">
        <v>29</v>
      </c>
      <c r="D12" s="7" t="s">
        <v>1079</v>
      </c>
      <c r="E12" s="13" t="n">
        <v>0.0274884259270038</v>
      </c>
      <c r="F12" s="7" t="str">
        <f aca="false">CONCATENATE(C12,"&gt;",D12)</f>
        <v>K28170&gt;LLE150</v>
      </c>
      <c r="G12" s="7" t="n">
        <f aca="false">VLOOKUP(F12,De_Para!$B$2:$C$1500,2,0)</f>
        <v>60</v>
      </c>
      <c r="L12" s="22" t="n">
        <v>9</v>
      </c>
      <c r="M12" s="23" t="n">
        <v>30</v>
      </c>
      <c r="N12" s="24" t="n">
        <v>2175</v>
      </c>
      <c r="O12" s="21" t="n">
        <f aca="false">$M$28*GETPIVOTDATA("Soma de Perda estimada",$L$3,"Mês",L12)</f>
        <v>4708875</v>
      </c>
    </row>
    <row r="13" customFormat="false" ht="15" hidden="false" customHeight="false" outlineLevel="0" collapsed="false">
      <c r="A13" s="11" t="n">
        <f aca="false">MONTH(B13)</f>
        <v>1</v>
      </c>
      <c r="B13" s="12" t="n">
        <v>45672.465775463</v>
      </c>
      <c r="C13" s="7" t="s">
        <v>1079</v>
      </c>
      <c r="D13" s="7" t="s">
        <v>1084</v>
      </c>
      <c r="E13" s="13" t="n">
        <v>2.30512731481576</v>
      </c>
      <c r="F13" s="7" t="str">
        <f aca="false">CONCATENATE(C13,"&gt;",D13)</f>
        <v>LLE150&gt;LLE200</v>
      </c>
      <c r="G13" s="7" t="n">
        <f aca="false">VLOOKUP(F13,De_Para!$B$2:$C$1500,2,0)</f>
        <v>60</v>
      </c>
      <c r="L13" s="22" t="n">
        <v>10</v>
      </c>
      <c r="M13" s="23" t="n">
        <v>27</v>
      </c>
      <c r="N13" s="24" t="n">
        <v>1875</v>
      </c>
      <c r="O13" s="21" t="n">
        <f aca="false">$M$28*GETPIVOTDATA("Soma de Perda estimada",$L$3,"Mês",L13)</f>
        <v>4059375</v>
      </c>
    </row>
    <row r="14" customFormat="false" ht="15" hidden="false" customHeight="false" outlineLevel="0" collapsed="false">
      <c r="A14" s="11" t="n">
        <f aca="false">MONTH(B14)</f>
        <v>1</v>
      </c>
      <c r="B14" s="12" t="n">
        <v>45672.864849537</v>
      </c>
      <c r="C14" s="7" t="s">
        <v>1084</v>
      </c>
      <c r="D14" s="7" t="s">
        <v>1080</v>
      </c>
      <c r="E14" s="13" t="n">
        <v>0.0472916666622041</v>
      </c>
      <c r="F14" s="7" t="str">
        <f aca="false">CONCATENATE(C14,"&gt;",D14)</f>
        <v>LLE200&gt;LLE170</v>
      </c>
      <c r="G14" s="7" t="n">
        <f aca="false">VLOOKUP(F14,De_Para!$B$2:$C$1500,2,0)</f>
        <v>60</v>
      </c>
      <c r="L14" s="22" t="n">
        <v>11</v>
      </c>
      <c r="M14" s="23" t="n">
        <v>11</v>
      </c>
      <c r="N14" s="24" t="n">
        <v>475</v>
      </c>
      <c r="O14" s="21" t="n">
        <f aca="false">$M$28*GETPIVOTDATA("Soma de Perda estimada",$L$3,"Mês",L14)</f>
        <v>1028375</v>
      </c>
    </row>
    <row r="15" customFormat="false" ht="15" hidden="false" customHeight="false" outlineLevel="0" collapsed="false">
      <c r="A15" s="11" t="n">
        <f aca="false">MONTH(B15)</f>
        <v>1</v>
      </c>
      <c r="B15" s="12" t="n">
        <v>45673.383587963</v>
      </c>
      <c r="C15" s="7" t="s">
        <v>1080</v>
      </c>
      <c r="D15" s="7" t="s">
        <v>1086</v>
      </c>
      <c r="E15" s="13" t="n">
        <v>0.119560185186856</v>
      </c>
      <c r="F15" s="7" t="str">
        <f aca="false">CONCATENATE(C15,"&gt;",D15)</f>
        <v>LLE170&gt;KKL195</v>
      </c>
      <c r="G15" s="7" t="n">
        <f aca="false">VLOOKUP(F15,De_Para!$B$2:$C$1500,2,0)</f>
        <v>120</v>
      </c>
      <c r="L15" s="22" t="n">
        <v>12</v>
      </c>
      <c r="M15" s="25" t="n">
        <v>22</v>
      </c>
      <c r="N15" s="26" t="n">
        <v>1975</v>
      </c>
      <c r="O15" s="21" t="n">
        <f aca="false">$M$28*GETPIVOTDATA("Soma de Perda estimada",$L$3,"Mês",L15)</f>
        <v>4275875</v>
      </c>
    </row>
    <row r="16" customFormat="false" ht="15" hidden="false" customHeight="false" outlineLevel="0" collapsed="false">
      <c r="A16" s="11" t="n">
        <f aca="false">MONTH(B16)</f>
        <v>1</v>
      </c>
      <c r="B16" s="12" t="n">
        <v>45674.2190393519</v>
      </c>
      <c r="C16" s="7" t="s">
        <v>1086</v>
      </c>
      <c r="D16" s="7" t="s">
        <v>1079</v>
      </c>
      <c r="E16" s="13" t="n">
        <v>0.0523611111129867</v>
      </c>
      <c r="F16" s="7" t="str">
        <f aca="false">CONCATENATE(C16,"&gt;",D16)</f>
        <v>KKL195&gt;LLE150</v>
      </c>
      <c r="G16" s="7" t="n">
        <f aca="false">VLOOKUP(F16,De_Para!$B$2:$C$1500,2,0)</f>
        <v>120</v>
      </c>
      <c r="L16" s="27" t="s">
        <v>1087</v>
      </c>
      <c r="M16" s="28" t="n">
        <v>295</v>
      </c>
      <c r="N16" s="29" t="n">
        <v>17585</v>
      </c>
      <c r="O16" s="30" t="n">
        <f aca="false">SUM(O4:O15)</f>
        <v>38071525</v>
      </c>
    </row>
    <row r="17" customFormat="false" ht="15" hidden="false" customHeight="false" outlineLevel="0" collapsed="false">
      <c r="A17" s="11" t="n">
        <f aca="false">MONTH(B17)</f>
        <v>1</v>
      </c>
      <c r="B17" s="12" t="n">
        <v>45674.9622685185</v>
      </c>
      <c r="C17" s="7" t="s">
        <v>1079</v>
      </c>
      <c r="D17" s="7" t="s">
        <v>1080</v>
      </c>
      <c r="E17" s="13" t="n">
        <v>0.0505787037036498</v>
      </c>
      <c r="F17" s="7" t="str">
        <f aca="false">CONCATENATE(C17,"&gt;",D17)</f>
        <v>LLE150&gt;LLE170</v>
      </c>
      <c r="G17" s="7" t="n">
        <f aca="false">VLOOKUP(F17,De_Para!$B$2:$C$1500,2,0)</f>
        <v>60</v>
      </c>
    </row>
    <row r="18" customFormat="false" ht="15" hidden="false" customHeight="false" outlineLevel="0" collapsed="false">
      <c r="A18" s="11" t="n">
        <f aca="false">MONTH(B18)</f>
        <v>1</v>
      </c>
      <c r="B18" s="12" t="n">
        <v>45675.7839583333</v>
      </c>
      <c r="C18" s="7" t="s">
        <v>1080</v>
      </c>
      <c r="D18" s="7" t="s">
        <v>10</v>
      </c>
      <c r="E18" s="13" t="n">
        <v>0.316493055557658</v>
      </c>
      <c r="F18" s="7" t="str">
        <f aca="false">CONCATENATE(C18,"&gt;",D18)</f>
        <v>LLE170&gt;CKQ276</v>
      </c>
      <c r="G18" s="7" t="n">
        <f aca="false">VLOOKUP(F18,De_Para!$B$2:$C$1500,2,0)</f>
        <v>100</v>
      </c>
    </row>
    <row r="19" customFormat="false" ht="15" hidden="false" customHeight="false" outlineLevel="0" collapsed="false">
      <c r="A19" s="11" t="n">
        <f aca="false">MONTH(B19)</f>
        <v>1</v>
      </c>
      <c r="B19" s="12" t="n">
        <v>45677.3160069444</v>
      </c>
      <c r="C19" s="7" t="s">
        <v>10</v>
      </c>
      <c r="D19" s="7" t="s">
        <v>12</v>
      </c>
      <c r="E19" s="13" t="n">
        <v>0.0394212962928577</v>
      </c>
      <c r="F19" s="7" t="str">
        <f aca="false">CONCATENATE(C19,"&gt;",D19)</f>
        <v>CKQ276&gt;CKQ300</v>
      </c>
      <c r="G19" s="7" t="n">
        <f aca="false">VLOOKUP(F19,De_Para!$B$2:$C$1500,2,0)</f>
        <v>15</v>
      </c>
    </row>
    <row r="20" customFormat="false" ht="15" hidden="false" customHeight="false" outlineLevel="0" collapsed="false">
      <c r="A20" s="11" t="n">
        <f aca="false">MONTH(B20)</f>
        <v>1</v>
      </c>
      <c r="B20" s="12" t="n">
        <v>45678.2911689815</v>
      </c>
      <c r="C20" s="7" t="s">
        <v>12</v>
      </c>
      <c r="D20" s="7" t="s">
        <v>11</v>
      </c>
      <c r="E20" s="13" t="n">
        <v>0.0254629629635019</v>
      </c>
      <c r="F20" s="7" t="str">
        <f aca="false">CONCATENATE(C20,"&gt;",D20)</f>
        <v>CKQ300&gt;CHD318</v>
      </c>
      <c r="G20" s="7" t="n">
        <f aca="false">VLOOKUP(F20,De_Para!$B$2:$C$1500,2,0)</f>
        <v>15</v>
      </c>
    </row>
    <row r="21" customFormat="false" ht="15" hidden="false" customHeight="false" outlineLevel="0" collapsed="false">
      <c r="A21" s="11" t="n">
        <f aca="false">MONTH(B21)</f>
        <v>1</v>
      </c>
      <c r="B21" s="12" t="n">
        <v>45681.653900463</v>
      </c>
      <c r="C21" s="7" t="s">
        <v>11</v>
      </c>
      <c r="D21" s="7" t="s">
        <v>18</v>
      </c>
      <c r="E21" s="13" t="n">
        <v>0.0340162037027767</v>
      </c>
      <c r="F21" s="7" t="str">
        <f aca="false">CONCATENATE(C21,"&gt;",D21)</f>
        <v>CHD318&gt;CKF250</v>
      </c>
      <c r="G21" s="7" t="n">
        <f aca="false">VLOOKUP(F21,De_Para!$B$2:$C$1500,2,0)</f>
        <v>60</v>
      </c>
    </row>
    <row r="22" customFormat="false" ht="15" hidden="false" customHeight="false" outlineLevel="0" collapsed="false">
      <c r="A22" s="11" t="n">
        <f aca="false">MONTH(B22)</f>
        <v>1</v>
      </c>
      <c r="B22" s="12" t="n">
        <v>45682.6878125</v>
      </c>
      <c r="C22" s="7" t="s">
        <v>18</v>
      </c>
      <c r="D22" s="7" t="s">
        <v>21</v>
      </c>
      <c r="E22" s="13" t="n">
        <v>0.0327546296321088</v>
      </c>
      <c r="F22" s="7" t="str">
        <f aca="false">CONCATENATE(C22,"&gt;",D22)</f>
        <v>CKF250&gt;CKF312</v>
      </c>
      <c r="G22" s="7" t="n">
        <f aca="false">VLOOKUP(F22,De_Para!$B$2:$C$1500,2,0)</f>
        <v>20</v>
      </c>
      <c r="L22" s="7" t="s">
        <v>1088</v>
      </c>
      <c r="M22" s="31" t="n">
        <f aca="false">M23*M24*M25</f>
        <v>0.643137707</v>
      </c>
      <c r="N22" s="31" t="n">
        <f aca="false">N23*N24*N25</f>
        <v>0.617953788368</v>
      </c>
    </row>
    <row r="23" customFormat="false" ht="15" hidden="false" customHeight="false" outlineLevel="0" collapsed="false">
      <c r="A23" s="11" t="n">
        <f aca="false">MONTH(B23)</f>
        <v>1</v>
      </c>
      <c r="B23" s="12" t="n">
        <v>45683.729224537</v>
      </c>
      <c r="C23" s="7" t="s">
        <v>21</v>
      </c>
      <c r="D23" s="7" t="s">
        <v>20</v>
      </c>
      <c r="E23" s="13" t="n">
        <v>0.0327546296248329</v>
      </c>
      <c r="F23" s="7" t="str">
        <f aca="false">CONCATENATE(C23,"&gt;",D23)</f>
        <v>CKF312&gt;CKF285</v>
      </c>
      <c r="G23" s="7" t="n">
        <f aca="false">VLOOKUP(F23,De_Para!$B$2:$C$1500,2,0)</f>
        <v>15</v>
      </c>
      <c r="L23" s="7" t="s">
        <v>1089</v>
      </c>
      <c r="M23" s="31" t="n">
        <v>0.8326</v>
      </c>
      <c r="N23" s="31" t="n">
        <v>0.8326</v>
      </c>
    </row>
    <row r="24" customFormat="false" ht="15" hidden="false" customHeight="false" outlineLevel="0" collapsed="false">
      <c r="A24" s="11" t="n">
        <f aca="false">MONTH(B24)</f>
        <v>1</v>
      </c>
      <c r="B24" s="12" t="n">
        <v>45684.0070601852</v>
      </c>
      <c r="C24" s="7" t="s">
        <v>20</v>
      </c>
      <c r="D24" s="7" t="s">
        <v>17</v>
      </c>
      <c r="E24" s="13" t="n">
        <v>0.0380208333299379</v>
      </c>
      <c r="F24" s="7" t="str">
        <f aca="false">CONCATENATE(C24,"&gt;",D24)</f>
        <v>CKF285&gt;CKF233</v>
      </c>
      <c r="G24" s="7" t="n">
        <f aca="false">VLOOKUP(F24,De_Para!$B$2:$C$1500,2,0)</f>
        <v>30</v>
      </c>
      <c r="L24" s="7" t="s">
        <v>1090</v>
      </c>
      <c r="M24" s="31" t="n">
        <v>0.8131</v>
      </c>
      <c r="N24" s="31" t="n">
        <v>0.8131</v>
      </c>
    </row>
    <row r="25" customFormat="false" ht="15" hidden="false" customHeight="false" outlineLevel="0" collapsed="false">
      <c r="A25" s="11" t="n">
        <f aca="false">MONTH(B25)</f>
        <v>1</v>
      </c>
      <c r="B25" s="12" t="n">
        <v>45685.5301273148</v>
      </c>
      <c r="C25" s="7" t="s">
        <v>17</v>
      </c>
      <c r="D25" s="7" t="s">
        <v>25</v>
      </c>
      <c r="E25" s="13" t="n">
        <v>0.0343634259261307</v>
      </c>
      <c r="F25" s="7" t="str">
        <f aca="false">CONCATENATE(C25,"&gt;",D25)</f>
        <v>CKF233&gt;EWP190</v>
      </c>
      <c r="G25" s="7" t="n">
        <f aca="false">VLOOKUP(F25,De_Para!$B$2:$C$1500,2,0)</f>
        <v>65</v>
      </c>
      <c r="L25" s="7" t="s">
        <v>1091</v>
      </c>
      <c r="M25" s="31" t="n">
        <v>0.95</v>
      </c>
      <c r="N25" s="31" t="n">
        <v>0.9128</v>
      </c>
    </row>
    <row r="26" customFormat="false" ht="15" hidden="false" customHeight="false" outlineLevel="0" collapsed="false">
      <c r="A26" s="11" t="n">
        <f aca="false">MONTH(B26)</f>
        <v>1</v>
      </c>
      <c r="B26" s="12" t="n">
        <v>45686.5387962963</v>
      </c>
      <c r="C26" s="7" t="s">
        <v>25</v>
      </c>
      <c r="D26" s="7" t="s">
        <v>33</v>
      </c>
      <c r="E26" s="13" t="n">
        <v>0.2145717592648</v>
      </c>
      <c r="F26" s="7" t="str">
        <f aca="false">CONCATENATE(C26,"&gt;",D26)</f>
        <v>EWP190&gt;EWC190</v>
      </c>
      <c r="G26" s="7" t="n">
        <f aca="false">VLOOKUP(F26,De_Para!$B$2:$C$1500,2,0)</f>
        <v>0</v>
      </c>
    </row>
    <row r="27" customFormat="false" ht="15" hidden="false" customHeight="false" outlineLevel="0" collapsed="false">
      <c r="A27" s="11" t="n">
        <f aca="false">MONTH(B27)</f>
        <v>1</v>
      </c>
      <c r="B27" s="12" t="n">
        <v>45686.7460300926</v>
      </c>
      <c r="C27" s="7" t="s">
        <v>33</v>
      </c>
      <c r="D27" s="7" t="s">
        <v>34</v>
      </c>
      <c r="E27" s="13" t="n">
        <v>0.0294560185211594</v>
      </c>
      <c r="F27" s="7" t="str">
        <f aca="false">CONCATENATE(C27,"&gt;",D27)</f>
        <v>EWC190&gt;EKW175</v>
      </c>
      <c r="G27" s="7" t="n">
        <f aca="false">VLOOKUP(F27,De_Para!$B$2:$C$1500,2,0)</f>
        <v>10</v>
      </c>
    </row>
    <row r="28" customFormat="false" ht="15" hidden="false" customHeight="false" outlineLevel="0" collapsed="false">
      <c r="A28" s="11" t="n">
        <f aca="false">MONTH(B28)</f>
        <v>1</v>
      </c>
      <c r="B28" s="12" t="n">
        <v>45688.2045833333</v>
      </c>
      <c r="C28" s="7" t="s">
        <v>34</v>
      </c>
      <c r="D28" s="7" t="s">
        <v>1080</v>
      </c>
      <c r="E28" s="13" t="n">
        <v>0.0542245370379533</v>
      </c>
      <c r="F28" s="7" t="str">
        <f aca="false">CONCATENATE(C28,"&gt;",D28)</f>
        <v>EKW175&gt;LLE170</v>
      </c>
      <c r="G28" s="7" t="n">
        <f aca="false">VLOOKUP(F28,De_Para!$B$2:$C$1500,2,0)</f>
        <v>120</v>
      </c>
      <c r="M28" s="7" t="n">
        <v>2165</v>
      </c>
      <c r="AB28" s="7" t="s">
        <v>1092</v>
      </c>
      <c r="AC28" s="11" t="s">
        <v>1093</v>
      </c>
    </row>
    <row r="29" customFormat="false" ht="15" hidden="false" customHeight="false" outlineLevel="0" collapsed="false">
      <c r="A29" s="11" t="n">
        <f aca="false">MONTH(B29)</f>
        <v>1</v>
      </c>
      <c r="B29" s="12" t="n">
        <v>45688.8695486111</v>
      </c>
      <c r="C29" s="7" t="s">
        <v>1080</v>
      </c>
      <c r="D29" s="7" t="s">
        <v>29</v>
      </c>
      <c r="E29" s="13" t="n">
        <v>0.0475694444467081</v>
      </c>
      <c r="F29" s="7" t="str">
        <f aca="false">CONCATENATE(C29,"&gt;",D29)</f>
        <v>LLE170&gt;K28170</v>
      </c>
      <c r="G29" s="7" t="n">
        <f aca="false">VLOOKUP(F29,De_Para!$B$2:$C$1500,2,0)</f>
        <v>0</v>
      </c>
      <c r="AB29" s="7" t="s">
        <v>1093</v>
      </c>
      <c r="AC29" s="11" t="s">
        <v>1094</v>
      </c>
    </row>
    <row r="30" customFormat="false" ht="15" hidden="false" customHeight="false" outlineLevel="0" collapsed="false">
      <c r="A30" s="11" t="n">
        <f aca="false">MONTH(B30)</f>
        <v>2</v>
      </c>
      <c r="B30" s="12" t="n">
        <v>45689.7325115741</v>
      </c>
      <c r="C30" s="7" t="s">
        <v>29</v>
      </c>
      <c r="D30" s="7" t="s">
        <v>1080</v>
      </c>
      <c r="E30" s="13" t="n">
        <v>0.046944444446126</v>
      </c>
      <c r="F30" s="7" t="str">
        <f aca="false">CONCATENATE(C30,"&gt;",D30)</f>
        <v>K28170&gt;LLE170</v>
      </c>
      <c r="G30" s="7" t="n">
        <f aca="false">VLOOKUP(F30,De_Para!$B$2:$C$1500,2,0)</f>
        <v>0</v>
      </c>
      <c r="AB30" s="7" t="s">
        <v>1094</v>
      </c>
      <c r="AC30" s="11" t="s">
        <v>1085</v>
      </c>
    </row>
    <row r="31" customFormat="false" ht="15" hidden="false" customHeight="false" outlineLevel="0" collapsed="false">
      <c r="A31" s="11" t="n">
        <f aca="false">MONTH(B31)</f>
        <v>2</v>
      </c>
      <c r="B31" s="12" t="n">
        <v>45690.4444675926</v>
      </c>
      <c r="C31" s="7" t="s">
        <v>1080</v>
      </c>
      <c r="D31" s="7" t="s">
        <v>28</v>
      </c>
      <c r="E31" s="13" t="n">
        <v>0.0501157407416031</v>
      </c>
      <c r="F31" s="7" t="str">
        <f aca="false">CONCATENATE(C31,"&gt;",D31)</f>
        <v>LLE170&gt;K28150</v>
      </c>
      <c r="G31" s="7" t="n">
        <f aca="false">VLOOKUP(F31,De_Para!$B$2:$C$1500,2,0)</f>
        <v>60</v>
      </c>
      <c r="AB31" s="7" t="s">
        <v>1085</v>
      </c>
      <c r="AC31" s="11" t="s">
        <v>28</v>
      </c>
    </row>
    <row r="32" customFormat="false" ht="15" hidden="false" customHeight="false" outlineLevel="0" collapsed="false">
      <c r="A32" s="11" t="n">
        <f aca="false">MONTH(B32)</f>
        <v>2</v>
      </c>
      <c r="B32" s="12" t="n">
        <v>45691.6996064815</v>
      </c>
      <c r="C32" s="7" t="s">
        <v>28</v>
      </c>
      <c r="D32" s="7" t="s">
        <v>1084</v>
      </c>
      <c r="E32" s="13" t="n">
        <v>0.0403356481474475</v>
      </c>
      <c r="F32" s="7" t="str">
        <f aca="false">CONCATENATE(C32,"&gt;",D32)</f>
        <v>K28150&gt;LLE200</v>
      </c>
      <c r="G32" s="7" t="n">
        <f aca="false">VLOOKUP(F32,De_Para!$B$2:$C$1500,2,0)</f>
        <v>60</v>
      </c>
      <c r="AB32" s="7" t="s">
        <v>28</v>
      </c>
      <c r="AC32" s="11" t="s">
        <v>1085</v>
      </c>
    </row>
    <row r="33" customFormat="false" ht="15" hidden="false" customHeight="false" outlineLevel="0" collapsed="false">
      <c r="A33" s="11" t="n">
        <f aca="false">MONTH(B33)</f>
        <v>2</v>
      </c>
      <c r="B33" s="12" t="n">
        <v>45692.9203703704</v>
      </c>
      <c r="C33" s="7" t="s">
        <v>30</v>
      </c>
      <c r="D33" s="7" t="s">
        <v>1086</v>
      </c>
      <c r="E33" s="13" t="n">
        <v>0.0453703703678912</v>
      </c>
      <c r="F33" s="7" t="str">
        <f aca="false">CONCATENATE(C33,"&gt;",D33)</f>
        <v>K28200&gt;KKL195</v>
      </c>
      <c r="G33" s="7" t="n">
        <f aca="false">VLOOKUP(F33,De_Para!$B$2:$C$1500,2,0)</f>
        <v>90</v>
      </c>
      <c r="AB33" s="7" t="s">
        <v>1085</v>
      </c>
      <c r="AC33" s="11" t="s">
        <v>34</v>
      </c>
    </row>
    <row r="34" customFormat="false" ht="15" hidden="false" customHeight="false" outlineLevel="0" collapsed="false">
      <c r="A34" s="11" t="n">
        <f aca="false">MONTH(B34)</f>
        <v>2</v>
      </c>
      <c r="B34" s="12" t="n">
        <v>45693.6637615741</v>
      </c>
      <c r="C34" s="7" t="s">
        <v>1086</v>
      </c>
      <c r="D34" s="7" t="s">
        <v>1095</v>
      </c>
      <c r="E34" s="13" t="n">
        <v>0.0426504629649571</v>
      </c>
      <c r="F34" s="7" t="str">
        <f aca="false">CONCATENATE(C34,"&gt;",D34)</f>
        <v>KKL195&gt;WUP250</v>
      </c>
      <c r="G34" s="7" t="n">
        <f aca="false">VLOOKUP(F34,De_Para!$B$2:$C$1500,2,0)</f>
        <v>260</v>
      </c>
      <c r="L34" s="32" t="s">
        <v>1073</v>
      </c>
      <c r="M34" s="32" t="s">
        <v>1096</v>
      </c>
      <c r="N34" s="32" t="s">
        <v>1097</v>
      </c>
      <c r="O34" s="32" t="s">
        <v>1098</v>
      </c>
      <c r="AB34" s="7" t="s">
        <v>34</v>
      </c>
      <c r="AC34" s="11" t="s">
        <v>11</v>
      </c>
    </row>
    <row r="35" customFormat="false" ht="15" hidden="false" customHeight="false" outlineLevel="0" collapsed="false">
      <c r="A35" s="11" t="n">
        <f aca="false">MONTH(B35)</f>
        <v>2</v>
      </c>
      <c r="B35" s="12" t="n">
        <v>45694.2265509259</v>
      </c>
      <c r="C35" s="7" t="s">
        <v>1095</v>
      </c>
      <c r="D35" s="7" t="s">
        <v>1092</v>
      </c>
      <c r="E35" s="13" t="n">
        <v>0.0380208333299379</v>
      </c>
      <c r="F35" s="7" t="str">
        <f aca="false">CONCATENATE(C35,"&gt;",D35)</f>
        <v>WUP250&gt;WTP265</v>
      </c>
      <c r="G35" s="7" t="n">
        <f aca="false">VLOOKUP(F35,De_Para!$B$2:$C$1500,2,0)</f>
        <v>30</v>
      </c>
      <c r="L35" s="7" t="s">
        <v>1099</v>
      </c>
      <c r="M35" s="7" t="n">
        <v>28</v>
      </c>
      <c r="N35" s="33" t="n">
        <v>1460</v>
      </c>
      <c r="O35" s="34" t="n">
        <v>3160900</v>
      </c>
      <c r="AB35" s="7" t="s">
        <v>11</v>
      </c>
      <c r="AC35" s="11" t="s">
        <v>12</v>
      </c>
    </row>
    <row r="36" customFormat="false" ht="15" hidden="false" customHeight="false" outlineLevel="0" collapsed="false">
      <c r="A36" s="11" t="n">
        <f aca="false">MONTH(B36)</f>
        <v>2</v>
      </c>
      <c r="B36" s="12" t="n">
        <v>45694.7253240741</v>
      </c>
      <c r="C36" s="7" t="s">
        <v>1092</v>
      </c>
      <c r="D36" s="7" t="s">
        <v>1093</v>
      </c>
      <c r="E36" s="13" t="n">
        <v>0.0380208333372138</v>
      </c>
      <c r="F36" s="7" t="str">
        <f aca="false">CONCATENATE(C36,"&gt;",D36)</f>
        <v>WTP265&gt;WTP220</v>
      </c>
      <c r="G36" s="7" t="n">
        <f aca="false">VLOOKUP(F36,De_Para!$B$2:$C$1500,2,0)</f>
        <v>30</v>
      </c>
      <c r="L36" s="7" t="s">
        <v>1100</v>
      </c>
      <c r="M36" s="7" t="n">
        <v>27</v>
      </c>
      <c r="N36" s="33" t="n">
        <v>1430</v>
      </c>
      <c r="O36" s="34" t="n">
        <v>3095950</v>
      </c>
      <c r="AB36" s="7" t="s">
        <v>12</v>
      </c>
      <c r="AC36" s="11" t="s">
        <v>28</v>
      </c>
    </row>
    <row r="37" customFormat="false" ht="15" hidden="false" customHeight="false" outlineLevel="0" collapsed="false">
      <c r="A37" s="11" t="n">
        <f aca="false">MONTH(B37)</f>
        <v>2</v>
      </c>
      <c r="B37" s="12" t="n">
        <v>45695.1274537037</v>
      </c>
      <c r="C37" s="7" t="s">
        <v>1093</v>
      </c>
      <c r="D37" s="7" t="s">
        <v>1094</v>
      </c>
      <c r="E37" s="13" t="n">
        <v>0.0377893518525525</v>
      </c>
      <c r="F37" s="7" t="str">
        <f aca="false">CONCATENATE(C37,"&gt;",D37)</f>
        <v>WTP220&gt;WTP205</v>
      </c>
      <c r="G37" s="7" t="n">
        <f aca="false">VLOOKUP(F37,De_Para!$B$2:$C$1500,2,0)</f>
        <v>30</v>
      </c>
      <c r="L37" s="7" t="s">
        <v>1101</v>
      </c>
      <c r="M37" s="7" t="n">
        <v>25</v>
      </c>
      <c r="N37" s="33" t="n">
        <v>1455</v>
      </c>
      <c r="O37" s="34" t="n">
        <v>3150075</v>
      </c>
      <c r="AB37" s="7" t="s">
        <v>28</v>
      </c>
      <c r="AC37" s="11" t="s">
        <v>21</v>
      </c>
    </row>
    <row r="38" customFormat="false" ht="15" hidden="false" customHeight="false" outlineLevel="0" collapsed="false">
      <c r="A38" s="11" t="n">
        <f aca="false">MONTH(B38)</f>
        <v>2</v>
      </c>
      <c r="B38" s="12" t="n">
        <v>45695.4654166667</v>
      </c>
      <c r="C38" s="7" t="s">
        <v>1094</v>
      </c>
      <c r="D38" s="7" t="s">
        <v>1085</v>
      </c>
      <c r="E38" s="13" t="n">
        <v>0.0378356481451192</v>
      </c>
      <c r="F38" s="7" t="str">
        <f aca="false">CONCATENATE(C38,"&gt;",D38)</f>
        <v>WTP205&gt;EKW200</v>
      </c>
      <c r="G38" s="7" t="n">
        <f aca="false">VLOOKUP(F38,De_Para!$B$2:$C$1500,2,0)</f>
        <v>130</v>
      </c>
      <c r="L38" s="7" t="s">
        <v>1102</v>
      </c>
      <c r="M38" s="7" t="n">
        <v>26</v>
      </c>
      <c r="N38" s="33" t="n">
        <v>1145</v>
      </c>
      <c r="O38" s="34" t="n">
        <v>2478925</v>
      </c>
      <c r="AB38" s="7" t="s">
        <v>21</v>
      </c>
      <c r="AC38" s="11" t="s">
        <v>20</v>
      </c>
    </row>
    <row r="39" customFormat="false" ht="15" hidden="false" customHeight="false" outlineLevel="0" collapsed="false">
      <c r="A39" s="11" t="n">
        <f aca="false">MONTH(B39)</f>
        <v>2</v>
      </c>
      <c r="B39" s="12" t="n">
        <v>45696.8363541667</v>
      </c>
      <c r="C39" s="7" t="s">
        <v>1085</v>
      </c>
      <c r="D39" s="7" t="s">
        <v>28</v>
      </c>
      <c r="E39" s="13" t="n">
        <v>0.0515162037045229</v>
      </c>
      <c r="F39" s="7" t="str">
        <f aca="false">CONCATENATE(C39,"&gt;",D39)</f>
        <v>EKW200&gt;K28150</v>
      </c>
      <c r="G39" s="7" t="n">
        <f aca="false">VLOOKUP(F39,De_Para!$B$2:$C$1500,2,0)</f>
        <v>65</v>
      </c>
      <c r="L39" s="7" t="s">
        <v>1103</v>
      </c>
      <c r="M39" s="7" t="n">
        <v>35</v>
      </c>
      <c r="N39" s="33" t="n">
        <v>2175</v>
      </c>
      <c r="O39" s="34" t="n">
        <v>4708875</v>
      </c>
      <c r="AB39" s="7" t="s">
        <v>20</v>
      </c>
      <c r="AC39" s="11" t="s">
        <v>18</v>
      </c>
    </row>
    <row r="40" customFormat="false" ht="15" hidden="false" customHeight="false" outlineLevel="0" collapsed="false">
      <c r="A40" s="11" t="n">
        <f aca="false">MONTH(B40)</f>
        <v>2</v>
      </c>
      <c r="B40" s="12" t="n">
        <v>45697.6350694444</v>
      </c>
      <c r="C40" s="7" t="s">
        <v>28</v>
      </c>
      <c r="D40" s="7" t="s">
        <v>1085</v>
      </c>
      <c r="E40" s="13" t="n">
        <v>0.147974537030677</v>
      </c>
      <c r="F40" s="7" t="str">
        <f aca="false">CONCATENATE(C40,"&gt;",D40)</f>
        <v>K28150&gt;EKW200</v>
      </c>
      <c r="G40" s="7" t="n">
        <f aca="false">VLOOKUP(F40,De_Para!$B$2:$C$1500,2,0)</f>
        <v>65</v>
      </c>
      <c r="L40" s="7" t="s">
        <v>1104</v>
      </c>
      <c r="M40" s="7" t="n">
        <v>18</v>
      </c>
      <c r="N40" s="33" t="n">
        <v>795</v>
      </c>
      <c r="O40" s="34" t="n">
        <v>1721175</v>
      </c>
      <c r="AB40" s="7" t="s">
        <v>18</v>
      </c>
      <c r="AC40" s="11" t="s">
        <v>17</v>
      </c>
    </row>
    <row r="41" customFormat="false" ht="15" hidden="false" customHeight="false" outlineLevel="0" collapsed="false">
      <c r="A41" s="11" t="n">
        <f aca="false">MONTH(B41)</f>
        <v>2</v>
      </c>
      <c r="B41" s="12" t="n">
        <v>45701.2576388889</v>
      </c>
      <c r="C41" s="7" t="s">
        <v>1085</v>
      </c>
      <c r="D41" s="7" t="s">
        <v>34</v>
      </c>
      <c r="E41" s="13" t="n">
        <v>0.04917824074073</v>
      </c>
      <c r="F41" s="7" t="str">
        <f aca="false">CONCATENATE(C41,"&gt;",D41)</f>
        <v>EKW200&gt;EKW175</v>
      </c>
      <c r="G41" s="7" t="n">
        <f aca="false">VLOOKUP(F41,De_Para!$B$2:$C$1500,2,0)</f>
        <v>50</v>
      </c>
      <c r="L41" s="7" t="s">
        <v>1105</v>
      </c>
      <c r="M41" s="7" t="n">
        <v>25</v>
      </c>
      <c r="N41" s="33" t="n">
        <v>1370</v>
      </c>
      <c r="O41" s="34" t="n">
        <v>2966050</v>
      </c>
      <c r="AB41" s="7" t="s">
        <v>17</v>
      </c>
      <c r="AC41" s="11" t="s">
        <v>12</v>
      </c>
    </row>
    <row r="42" customFormat="false" ht="15" hidden="false" customHeight="false" outlineLevel="0" collapsed="false">
      <c r="A42" s="11" t="n">
        <f aca="false">MONTH(B42)</f>
        <v>2</v>
      </c>
      <c r="B42" s="12" t="n">
        <v>45703.2920486111</v>
      </c>
      <c r="C42" s="7" t="s">
        <v>34</v>
      </c>
      <c r="D42" s="7" t="s">
        <v>11</v>
      </c>
      <c r="E42" s="13" t="n">
        <v>0.039340277777228</v>
      </c>
      <c r="F42" s="7" t="str">
        <f aca="false">CONCATENATE(C42,"&gt;",D42)</f>
        <v>EKW175&gt;CHD318</v>
      </c>
      <c r="G42" s="7" t="n">
        <f aca="false">VLOOKUP(F42,De_Para!$B$2:$C$1500,2,0)</f>
        <v>90</v>
      </c>
      <c r="L42" s="7" t="s">
        <v>1106</v>
      </c>
      <c r="M42" s="7" t="n">
        <v>21</v>
      </c>
      <c r="N42" s="33" t="n">
        <v>1255</v>
      </c>
      <c r="O42" s="34" t="n">
        <v>2717075</v>
      </c>
      <c r="AB42" s="7" t="s">
        <v>12</v>
      </c>
      <c r="AC42" s="11" t="s">
        <v>10</v>
      </c>
    </row>
    <row r="43" customFormat="false" ht="15" hidden="false" customHeight="false" outlineLevel="0" collapsed="false">
      <c r="A43" s="11" t="n">
        <f aca="false">MONTH(B43)</f>
        <v>2</v>
      </c>
      <c r="B43" s="12" t="n">
        <v>45706.3443865741</v>
      </c>
      <c r="C43" s="7" t="s">
        <v>11</v>
      </c>
      <c r="D43" s="7" t="s">
        <v>12</v>
      </c>
      <c r="E43" s="13" t="n">
        <v>0.0332754629635019</v>
      </c>
      <c r="F43" s="7" t="str">
        <f aca="false">CONCATENATE(C43,"&gt;",D43)</f>
        <v>CHD318&gt;CKQ300</v>
      </c>
      <c r="G43" s="7" t="n">
        <f aca="false">VLOOKUP(F43,De_Para!$B$2:$C$1500,2,0)</f>
        <v>15</v>
      </c>
      <c r="L43" s="7" t="s">
        <v>1107</v>
      </c>
      <c r="M43" s="7" t="n">
        <v>30</v>
      </c>
      <c r="N43" s="33" t="n">
        <v>2175</v>
      </c>
      <c r="O43" s="34" t="n">
        <v>4708875</v>
      </c>
      <c r="AB43" s="7" t="s">
        <v>10</v>
      </c>
      <c r="AC43" s="11" t="s">
        <v>1086</v>
      </c>
    </row>
    <row r="44" customFormat="false" ht="15" hidden="false" customHeight="false" outlineLevel="0" collapsed="false">
      <c r="A44" s="11" t="n">
        <f aca="false">MONTH(B44)</f>
        <v>2</v>
      </c>
      <c r="B44" s="12" t="n">
        <v>45707.3281828704</v>
      </c>
      <c r="C44" s="7" t="s">
        <v>12</v>
      </c>
      <c r="D44" s="7" t="s">
        <v>28</v>
      </c>
      <c r="E44" s="13" t="n">
        <v>0.126747685186274</v>
      </c>
      <c r="F44" s="7" t="str">
        <f aca="false">CONCATENATE(C44,"&gt;",D44)</f>
        <v>CKQ300&gt;K28150</v>
      </c>
      <c r="G44" s="7" t="n">
        <f aca="false">VLOOKUP(F44,De_Para!$B$2:$C$1500,2,0)</f>
        <v>50</v>
      </c>
      <c r="L44" s="7" t="s">
        <v>1108</v>
      </c>
      <c r="M44" s="7" t="n">
        <v>27</v>
      </c>
      <c r="N44" s="33" t="n">
        <v>1875</v>
      </c>
      <c r="O44" s="34" t="n">
        <v>4059375</v>
      </c>
      <c r="AB44" s="7" t="s">
        <v>1086</v>
      </c>
      <c r="AC44" s="11" t="s">
        <v>8</v>
      </c>
    </row>
    <row r="45" customFormat="false" ht="15" hidden="false" customHeight="false" outlineLevel="0" collapsed="false">
      <c r="A45" s="11" t="n">
        <f aca="false">MONTH(B45)</f>
        <v>2</v>
      </c>
      <c r="B45" s="12" t="n">
        <v>45708.7144444444</v>
      </c>
      <c r="C45" s="7" t="s">
        <v>28</v>
      </c>
      <c r="D45" s="7" t="s">
        <v>21</v>
      </c>
      <c r="E45" s="13" t="n">
        <v>0.504918981481751</v>
      </c>
      <c r="F45" s="7" t="str">
        <f aca="false">CONCATENATE(C45,"&gt;",D45)</f>
        <v>K28150&gt;CKF312</v>
      </c>
      <c r="G45" s="7" t="n">
        <f aca="false">VLOOKUP(F45,De_Para!$B$2:$C$1500,2,0)</f>
        <v>120</v>
      </c>
      <c r="L45" s="7" t="s">
        <v>1109</v>
      </c>
      <c r="M45" s="7" t="n">
        <v>11</v>
      </c>
      <c r="N45" s="33" t="n">
        <v>475</v>
      </c>
      <c r="O45" s="34" t="n">
        <v>1028375</v>
      </c>
      <c r="AB45" s="7" t="s">
        <v>8</v>
      </c>
      <c r="AC45" s="11" t="s">
        <v>17</v>
      </c>
    </row>
    <row r="46" customFormat="false" ht="15" hidden="false" customHeight="false" outlineLevel="0" collapsed="false">
      <c r="A46" s="11" t="n">
        <f aca="false">MONTH(B46)</f>
        <v>2</v>
      </c>
      <c r="B46" s="12" t="n">
        <v>45709.4213657407</v>
      </c>
      <c r="C46" s="7" t="s">
        <v>21</v>
      </c>
      <c r="D46" s="7" t="s">
        <v>20</v>
      </c>
      <c r="E46" s="13" t="n">
        <v>0.0349421296268702</v>
      </c>
      <c r="F46" s="7" t="str">
        <f aca="false">CONCATENATE(C46,"&gt;",D46)</f>
        <v>CKF312&gt;CKF285</v>
      </c>
      <c r="G46" s="7" t="n">
        <f aca="false">VLOOKUP(F46,De_Para!$B$2:$C$1500,2,0)</f>
        <v>15</v>
      </c>
      <c r="L46" s="7" t="s">
        <v>1110</v>
      </c>
      <c r="M46" s="7" t="n">
        <v>22</v>
      </c>
      <c r="N46" s="33" t="n">
        <v>1975</v>
      </c>
      <c r="O46" s="34" t="n">
        <v>4275875</v>
      </c>
      <c r="AB46" s="7" t="s">
        <v>17</v>
      </c>
      <c r="AC46" s="11" t="s">
        <v>33</v>
      </c>
    </row>
    <row r="47" customFormat="false" ht="15" hidden="false" customHeight="false" outlineLevel="0" collapsed="false">
      <c r="A47" s="11" t="n">
        <f aca="false">MONTH(B47)</f>
        <v>2</v>
      </c>
      <c r="B47" s="12" t="n">
        <v>45709.7619328704</v>
      </c>
      <c r="C47" s="7" t="s">
        <v>20</v>
      </c>
      <c r="D47" s="7" t="s">
        <v>18</v>
      </c>
      <c r="E47" s="13" t="n">
        <v>0.0346643518569181</v>
      </c>
      <c r="F47" s="7" t="str">
        <f aca="false">CONCATENATE(C47,"&gt;",D47)</f>
        <v>CKF285&gt;CKF250</v>
      </c>
      <c r="G47" s="7" t="n">
        <f aca="false">VLOOKUP(F47,De_Para!$B$2:$C$1500,2,0)</f>
        <v>15</v>
      </c>
      <c r="L47" s="32" t="s">
        <v>1111</v>
      </c>
      <c r="M47" s="32" t="n">
        <v>295</v>
      </c>
      <c r="N47" s="35" t="n">
        <v>17585</v>
      </c>
      <c r="O47" s="36" t="n">
        <v>38071525</v>
      </c>
      <c r="AB47" s="7" t="s">
        <v>33</v>
      </c>
      <c r="AC47" s="11" t="s">
        <v>32</v>
      </c>
    </row>
    <row r="48" customFormat="false" ht="15" hidden="false" customHeight="false" outlineLevel="0" collapsed="false">
      <c r="A48" s="11" t="n">
        <f aca="false">MONTH(B48)</f>
        <v>2</v>
      </c>
      <c r="B48" s="12" t="n">
        <v>45711.3972106481</v>
      </c>
      <c r="C48" s="7" t="s">
        <v>18</v>
      </c>
      <c r="D48" s="7" t="s">
        <v>17</v>
      </c>
      <c r="E48" s="13" t="n">
        <v>0.0204282407357823</v>
      </c>
      <c r="F48" s="7" t="str">
        <f aca="false">CONCATENATE(C48,"&gt;",D48)</f>
        <v>CKF250&gt;CKF233</v>
      </c>
      <c r="G48" s="7" t="n">
        <f aca="false">VLOOKUP(F48,De_Para!$B$2:$C$1500,2,0)</f>
        <v>15</v>
      </c>
      <c r="AB48" s="7" t="s">
        <v>32</v>
      </c>
      <c r="AC48" s="11" t="s">
        <v>28</v>
      </c>
    </row>
    <row r="49" customFormat="false" ht="15" hidden="false" customHeight="false" outlineLevel="0" collapsed="false">
      <c r="A49" s="11" t="n">
        <f aca="false">MONTH(B49)</f>
        <v>2</v>
      </c>
      <c r="B49" s="12" t="n">
        <v>45711.8368518519</v>
      </c>
      <c r="C49" s="7" t="s">
        <v>17</v>
      </c>
      <c r="D49" s="7" t="s">
        <v>12</v>
      </c>
      <c r="E49" s="13" t="n">
        <v>0.0386574074072996</v>
      </c>
      <c r="F49" s="7" t="str">
        <f aca="false">CONCATENATE(C49,"&gt;",D49)</f>
        <v>CKF233&gt;CKQ300</v>
      </c>
      <c r="G49" s="7" t="n">
        <f aca="false">VLOOKUP(F49,De_Para!$B$2:$C$1500,2,0)</f>
        <v>35</v>
      </c>
      <c r="AB49" s="7" t="s">
        <v>28</v>
      </c>
      <c r="AC49" s="11" t="s">
        <v>30</v>
      </c>
    </row>
    <row r="50" customFormat="false" ht="15" hidden="false" customHeight="false" outlineLevel="0" collapsed="false">
      <c r="A50" s="11" t="n">
        <f aca="false">MONTH(B50)</f>
        <v>2</v>
      </c>
      <c r="B50" s="12" t="n">
        <v>45713.6397685185</v>
      </c>
      <c r="C50" s="7" t="s">
        <v>12</v>
      </c>
      <c r="D50" s="7" t="s">
        <v>10</v>
      </c>
      <c r="E50" s="13" t="n">
        <v>0.033726851856045</v>
      </c>
      <c r="F50" s="7" t="str">
        <f aca="false">CONCATENATE(C50,"&gt;",D50)</f>
        <v>CKQ300&gt;CKQ276</v>
      </c>
      <c r="G50" s="7" t="n">
        <f aca="false">VLOOKUP(F50,De_Para!$B$2:$C$1500,2,0)</f>
        <v>15</v>
      </c>
      <c r="AB50" s="7" t="s">
        <v>30</v>
      </c>
      <c r="AC50" s="11" t="s">
        <v>29</v>
      </c>
    </row>
    <row r="51" customFormat="false" ht="15" hidden="false" customHeight="false" outlineLevel="0" collapsed="false">
      <c r="A51" s="11" t="n">
        <f aca="false">MONTH(B51)</f>
        <v>2</v>
      </c>
      <c r="B51" s="12" t="n">
        <v>45714.1501273148</v>
      </c>
      <c r="C51" s="7" t="s">
        <v>10</v>
      </c>
      <c r="D51" s="7" t="s">
        <v>1086</v>
      </c>
      <c r="E51" s="13" t="n">
        <v>0.0456018518525525</v>
      </c>
      <c r="F51" s="7" t="str">
        <f aca="false">CONCATENATE(C51,"&gt;",D51)</f>
        <v>CKQ276&gt;KKL195</v>
      </c>
      <c r="G51" s="7" t="n">
        <f aca="false">VLOOKUP(F51,De_Para!$B$2:$C$1500,2,0)</f>
        <v>25</v>
      </c>
      <c r="AB51" s="7" t="s">
        <v>29</v>
      </c>
      <c r="AC51" s="11" t="s">
        <v>34</v>
      </c>
    </row>
    <row r="52" customFormat="false" ht="15" hidden="false" customHeight="false" outlineLevel="0" collapsed="false">
      <c r="A52" s="11" t="n">
        <f aca="false">MONTH(B52)</f>
        <v>2</v>
      </c>
      <c r="B52" s="12" t="n">
        <v>45714.8023842593</v>
      </c>
      <c r="C52" s="7" t="s">
        <v>1086</v>
      </c>
      <c r="D52" s="7" t="s">
        <v>8</v>
      </c>
      <c r="E52" s="13" t="n">
        <v>0.0146527777760639</v>
      </c>
      <c r="F52" s="7" t="str">
        <f aca="false">CONCATENATE(C52,"&gt;",D52)</f>
        <v>KKL195&gt;KKL205</v>
      </c>
      <c r="G52" s="7" t="n">
        <f aca="false">VLOOKUP(F52,De_Para!$B$2:$C$1500,2,0)</f>
        <v>0</v>
      </c>
      <c r="AB52" s="7" t="s">
        <v>34</v>
      </c>
      <c r="AC52" s="11" t="s">
        <v>1085</v>
      </c>
    </row>
    <row r="53" customFormat="false" ht="15" hidden="false" customHeight="false" outlineLevel="0" collapsed="false">
      <c r="A53" s="11" t="n">
        <f aca="false">MONTH(B53)</f>
        <v>2</v>
      </c>
      <c r="B53" s="12" t="n">
        <v>45715.1986574074</v>
      </c>
      <c r="C53" s="7" t="s">
        <v>8</v>
      </c>
      <c r="D53" s="7" t="s">
        <v>17</v>
      </c>
      <c r="E53" s="13" t="n">
        <v>0.0340856481489027</v>
      </c>
      <c r="F53" s="7" t="str">
        <f aca="false">CONCATENATE(C53,"&gt;",D53)</f>
        <v>KKL205&gt;CKF233</v>
      </c>
      <c r="G53" s="7" t="n">
        <f aca="false">VLOOKUP(F53,De_Para!$B$2:$C$1500,2,0)</f>
        <v>40</v>
      </c>
      <c r="AB53" s="7" t="s">
        <v>1085</v>
      </c>
      <c r="AC53" s="11" t="s">
        <v>30</v>
      </c>
    </row>
    <row r="54" customFormat="false" ht="15" hidden="false" customHeight="false" outlineLevel="0" collapsed="false">
      <c r="A54" s="11" t="n">
        <f aca="false">MONTH(B54)</f>
        <v>2</v>
      </c>
      <c r="B54" s="12" t="n">
        <v>45715.5109837963</v>
      </c>
      <c r="C54" s="7" t="s">
        <v>17</v>
      </c>
      <c r="D54" s="7" t="s">
        <v>33</v>
      </c>
      <c r="E54" s="13" t="n">
        <v>0.0420717592569417</v>
      </c>
      <c r="F54" s="7" t="str">
        <f aca="false">CONCATENATE(C54,"&gt;",D54)</f>
        <v>CKF233&gt;EWC190</v>
      </c>
      <c r="G54" s="7" t="n">
        <f aca="false">VLOOKUP(F54,De_Para!$B$2:$C$1500,2,0)</f>
        <v>65</v>
      </c>
      <c r="AB54" s="7" t="s">
        <v>30</v>
      </c>
      <c r="AC54" s="11" t="s">
        <v>1112</v>
      </c>
    </row>
    <row r="55" customFormat="false" ht="15" hidden="false" customHeight="false" outlineLevel="0" collapsed="false">
      <c r="A55" s="11" t="n">
        <f aca="false">MONTH(B55)</f>
        <v>2</v>
      </c>
      <c r="B55" s="12" t="n">
        <v>45716.1404398148</v>
      </c>
      <c r="C55" s="7" t="s">
        <v>33</v>
      </c>
      <c r="D55" s="7" t="s">
        <v>32</v>
      </c>
      <c r="E55" s="13" t="n">
        <v>0.0506944444423425</v>
      </c>
      <c r="F55" s="7" t="str">
        <f aca="false">CONCATENATE(C55,"&gt;",D55)</f>
        <v>EWC190&gt;EWC175</v>
      </c>
      <c r="G55" s="7" t="n">
        <f aca="false">VLOOKUP(F55,De_Para!$B$2:$C$1500,2,0)</f>
        <v>20</v>
      </c>
      <c r="AB55" s="7" t="s">
        <v>1112</v>
      </c>
      <c r="AC55" s="11" t="s">
        <v>1113</v>
      </c>
    </row>
    <row r="56" customFormat="false" ht="15" hidden="false" customHeight="false" outlineLevel="0" collapsed="false">
      <c r="A56" s="11" t="n">
        <f aca="false">MONTH(B56)</f>
        <v>2</v>
      </c>
      <c r="B56" s="12" t="n">
        <v>45716.695462963</v>
      </c>
      <c r="C56" s="7" t="s">
        <v>32</v>
      </c>
      <c r="D56" s="7" t="s">
        <v>28</v>
      </c>
      <c r="E56" s="13" t="n">
        <v>0.0537615740759065</v>
      </c>
      <c r="F56" s="7" t="str">
        <f aca="false">CONCATENATE(C56,"&gt;",D56)</f>
        <v>EWC175&gt;K28150</v>
      </c>
      <c r="G56" s="7" t="n">
        <f aca="false">VLOOKUP(F56,De_Para!$B$2:$C$1500,2,0)</f>
        <v>40</v>
      </c>
      <c r="AB56" s="7" t="s">
        <v>1113</v>
      </c>
      <c r="AC56" s="11" t="s">
        <v>1114</v>
      </c>
    </row>
    <row r="57" customFormat="false" ht="15" hidden="false" customHeight="false" outlineLevel="0" collapsed="false">
      <c r="A57" s="11" t="n">
        <f aca="false">MONTH(B57)</f>
        <v>3</v>
      </c>
      <c r="B57" s="12" t="n">
        <v>45719.275462963</v>
      </c>
      <c r="C57" s="7" t="s">
        <v>28</v>
      </c>
      <c r="D57" s="7" t="s">
        <v>30</v>
      </c>
      <c r="E57" s="13" t="n">
        <v>0.0843749999985448</v>
      </c>
      <c r="F57" s="7" t="str">
        <f aca="false">CONCATENATE(C57,"&gt;",D57)</f>
        <v>K28150&gt;K28200</v>
      </c>
      <c r="G57" s="7" t="n">
        <f aca="false">VLOOKUP(F57,De_Para!$B$2:$C$1500,2,0)</f>
        <v>30</v>
      </c>
      <c r="AB57" s="7" t="s">
        <v>1114</v>
      </c>
      <c r="AC57" s="11" t="s">
        <v>1115</v>
      </c>
    </row>
    <row r="58" customFormat="false" ht="15" hidden="false" customHeight="false" outlineLevel="0" collapsed="false">
      <c r="A58" s="11" t="n">
        <f aca="false">MONTH(B58)</f>
        <v>3</v>
      </c>
      <c r="B58" s="12" t="n">
        <v>45720.6319328704</v>
      </c>
      <c r="C58" s="7" t="s">
        <v>30</v>
      </c>
      <c r="D58" s="7" t="s">
        <v>29</v>
      </c>
      <c r="E58" s="13" t="n">
        <v>0.0193865740729962</v>
      </c>
      <c r="F58" s="7" t="str">
        <f aca="false">CONCATENATE(C58,"&gt;",D58)</f>
        <v>K28200&gt;K28170</v>
      </c>
      <c r="G58" s="7" t="n">
        <f aca="false">VLOOKUP(F58,De_Para!$B$2:$C$1500,2,0)</f>
        <v>15</v>
      </c>
      <c r="AB58" s="7" t="s">
        <v>1115</v>
      </c>
      <c r="AC58" s="11" t="s">
        <v>1116</v>
      </c>
    </row>
    <row r="59" customFormat="false" ht="15" hidden="false" customHeight="false" outlineLevel="0" collapsed="false">
      <c r="A59" s="11" t="n">
        <f aca="false">MONTH(B59)</f>
        <v>3</v>
      </c>
      <c r="B59" s="12" t="n">
        <v>45722.0728819444</v>
      </c>
      <c r="C59" s="7" t="s">
        <v>29</v>
      </c>
      <c r="D59" s="7" t="s">
        <v>34</v>
      </c>
      <c r="E59" s="13" t="n">
        <v>0.0528935185138835</v>
      </c>
      <c r="F59" s="7" t="str">
        <f aca="false">CONCATENATE(C59,"&gt;",D59)</f>
        <v>K28170&gt;EKW175</v>
      </c>
      <c r="G59" s="7" t="n">
        <f aca="false">VLOOKUP(F59,De_Para!$B$2:$C$1500,2,0)</f>
        <v>40</v>
      </c>
      <c r="AB59" s="7" t="s">
        <v>1116</v>
      </c>
      <c r="AC59" s="11" t="s">
        <v>1117</v>
      </c>
    </row>
    <row r="60" customFormat="false" ht="15" hidden="false" customHeight="false" outlineLevel="0" collapsed="false">
      <c r="A60" s="11" t="n">
        <f aca="false">MONTH(B60)</f>
        <v>3</v>
      </c>
      <c r="B60" s="12" t="n">
        <v>45724.0523148148</v>
      </c>
      <c r="C60" s="7" t="s">
        <v>34</v>
      </c>
      <c r="D60" s="7" t="s">
        <v>1085</v>
      </c>
      <c r="E60" s="13" t="n">
        <v>0.0182291666642413</v>
      </c>
      <c r="F60" s="7" t="str">
        <f aca="false">CONCATENATE(C60,"&gt;",D60)</f>
        <v>EKW175&gt;EKW200</v>
      </c>
      <c r="G60" s="7" t="n">
        <f aca="false">VLOOKUP(F60,De_Para!$B$2:$C$1500,2,0)</f>
        <v>50</v>
      </c>
      <c r="AB60" s="7" t="s">
        <v>1117</v>
      </c>
      <c r="AC60" s="11" t="s">
        <v>28</v>
      </c>
    </row>
    <row r="61" customFormat="false" ht="15" hidden="false" customHeight="false" outlineLevel="0" collapsed="false">
      <c r="A61" s="11" t="n">
        <f aca="false">MONTH(B61)</f>
        <v>3</v>
      </c>
      <c r="B61" s="12" t="n">
        <v>45724.797662037</v>
      </c>
      <c r="C61" s="7" t="s">
        <v>1085</v>
      </c>
      <c r="D61" s="7" t="s">
        <v>1084</v>
      </c>
      <c r="E61" s="13" t="n">
        <v>0.0404513888934162</v>
      </c>
      <c r="F61" s="7" t="str">
        <f aca="false">CONCATENATE(C61,"&gt;",D61)</f>
        <v>EKW200&gt;LLE200</v>
      </c>
      <c r="G61" s="7" t="n">
        <f aca="false">VLOOKUP(F61,De_Para!$B$2:$C$1500,2,0)</f>
        <v>65</v>
      </c>
      <c r="AB61" s="7" t="s">
        <v>28</v>
      </c>
      <c r="AC61" s="11" t="s">
        <v>29</v>
      </c>
    </row>
    <row r="62" customFormat="false" ht="15" hidden="false" customHeight="false" outlineLevel="0" collapsed="false">
      <c r="A62" s="11" t="n">
        <f aca="false">MONTH(B62)</f>
        <v>3</v>
      </c>
      <c r="B62" s="12" t="n">
        <v>45725.6153125</v>
      </c>
      <c r="C62" s="7" t="s">
        <v>1084</v>
      </c>
      <c r="D62" s="7" t="s">
        <v>1112</v>
      </c>
      <c r="E62" s="13" t="n">
        <v>0.0482060185167939</v>
      </c>
      <c r="F62" s="7" t="str">
        <f aca="false">CONCATENATE(C62,"&gt;",D62)</f>
        <v>LLE200&gt;WCP215</v>
      </c>
      <c r="G62" s="7" t="n">
        <f aca="false">VLOOKUP(F62,De_Para!$B$2:$C$1500,2,0)</f>
        <v>240</v>
      </c>
      <c r="AB62" s="7" t="s">
        <v>29</v>
      </c>
      <c r="AC62" s="11" t="s">
        <v>28</v>
      </c>
    </row>
    <row r="63" customFormat="false" ht="15" hidden="false" customHeight="false" outlineLevel="0" collapsed="false">
      <c r="A63" s="11" t="n">
        <f aca="false">MONTH(B63)</f>
        <v>3</v>
      </c>
      <c r="B63" s="12" t="n">
        <v>45726.1414583333</v>
      </c>
      <c r="C63" s="7" t="s">
        <v>1112</v>
      </c>
      <c r="D63" s="7" t="s">
        <v>1113</v>
      </c>
      <c r="E63" s="13" t="n">
        <v>0.0358217592583969</v>
      </c>
      <c r="F63" s="7" t="str">
        <f aca="false">CONCATENATE(C63,"&gt;",D63)</f>
        <v>WCP215&gt;WTP235</v>
      </c>
      <c r="G63" s="7" t="n">
        <f aca="false">VLOOKUP(F63,De_Para!$B$2:$C$1500,2,0)</f>
        <v>30</v>
      </c>
      <c r="AB63" s="7" t="s">
        <v>28</v>
      </c>
      <c r="AC63" s="11" t="s">
        <v>29</v>
      </c>
    </row>
    <row r="64" customFormat="false" ht="15" hidden="false" customHeight="false" outlineLevel="0" collapsed="false">
      <c r="A64" s="11" t="n">
        <f aca="false">MONTH(B64)</f>
        <v>3</v>
      </c>
      <c r="B64" s="12" t="n">
        <v>45726.4194675926</v>
      </c>
      <c r="C64" s="7" t="s">
        <v>1113</v>
      </c>
      <c r="D64" s="7" t="s">
        <v>1114</v>
      </c>
      <c r="E64" s="13" t="n">
        <v>0.0090856481474475</v>
      </c>
      <c r="F64" s="7" t="str">
        <f aca="false">CONCATENATE(C64,"&gt;",D64)</f>
        <v>WTP235&gt;WTP250</v>
      </c>
      <c r="G64" s="7" t="n">
        <f aca="false">VLOOKUP(F64,De_Para!$B$2:$C$1500,2,0)</f>
        <v>30</v>
      </c>
      <c r="AB64" s="7" t="s">
        <v>29</v>
      </c>
      <c r="AC64" s="11" t="s">
        <v>28</v>
      </c>
    </row>
    <row r="65" customFormat="false" ht="15" hidden="false" customHeight="false" outlineLevel="0" collapsed="false">
      <c r="A65" s="11" t="n">
        <f aca="false">MONTH(B65)</f>
        <v>3</v>
      </c>
      <c r="B65" s="12" t="n">
        <v>45726.813900463</v>
      </c>
      <c r="C65" s="7" t="s">
        <v>1114</v>
      </c>
      <c r="D65" s="7" t="s">
        <v>1115</v>
      </c>
      <c r="E65" s="13" t="n">
        <v>0.12401620370656</v>
      </c>
      <c r="F65" s="7" t="str">
        <f aca="false">CONCATENATE(C65,"&gt;",D65)</f>
        <v>WTP250&gt;WTP280</v>
      </c>
      <c r="G65" s="7" t="n">
        <f aca="false">VLOOKUP(F65,De_Para!$B$2:$C$1500,2,0)</f>
        <v>30</v>
      </c>
      <c r="AB65" s="7" t="s">
        <v>28</v>
      </c>
      <c r="AC65" s="11" t="s">
        <v>30</v>
      </c>
    </row>
    <row r="66" customFormat="false" ht="15" hidden="false" customHeight="false" outlineLevel="0" collapsed="false">
      <c r="A66" s="11" t="n">
        <f aca="false">MONTH(B66)</f>
        <v>3</v>
      </c>
      <c r="B66" s="12" t="n">
        <v>45727.3891898148</v>
      </c>
      <c r="C66" s="7" t="s">
        <v>1115</v>
      </c>
      <c r="D66" s="7" t="s">
        <v>1116</v>
      </c>
      <c r="E66" s="13" t="n">
        <v>0.132060185183946</v>
      </c>
      <c r="F66" s="7" t="str">
        <f aca="false">CONCATENATE(C66,"&gt;",D66)</f>
        <v>WTP280&gt;WTP300</v>
      </c>
      <c r="G66" s="7" t="n">
        <f aca="false">VLOOKUP(F66,De_Para!$B$2:$C$1500,2,0)</f>
        <v>30</v>
      </c>
      <c r="AB66" s="7" t="s">
        <v>30</v>
      </c>
      <c r="AC66" s="11" t="s">
        <v>29</v>
      </c>
    </row>
    <row r="67" customFormat="false" ht="15" hidden="false" customHeight="false" outlineLevel="0" collapsed="false">
      <c r="A67" s="11" t="n">
        <f aca="false">MONTH(B67)</f>
        <v>3</v>
      </c>
      <c r="B67" s="12" t="n">
        <v>45727.7910416667</v>
      </c>
      <c r="C67" s="7" t="s">
        <v>1116</v>
      </c>
      <c r="D67" s="7" t="s">
        <v>1117</v>
      </c>
      <c r="E67" s="13" t="n">
        <v>0.112673611110949</v>
      </c>
      <c r="F67" s="7" t="str">
        <f aca="false">CONCATENATE(C67,"&gt;",D67)</f>
        <v>WTP300&gt;WSB320</v>
      </c>
      <c r="G67" s="7" t="n">
        <f aca="false">VLOOKUP(F67,De_Para!$B$2:$C$1500,2,0)</f>
        <v>30</v>
      </c>
      <c r="AB67" s="7" t="s">
        <v>29</v>
      </c>
      <c r="AC67" s="11" t="s">
        <v>25</v>
      </c>
    </row>
    <row r="68" customFormat="false" ht="15" hidden="false" customHeight="false" outlineLevel="0" collapsed="false">
      <c r="A68" s="11" t="n">
        <f aca="false">MONTH(B68)</f>
        <v>3</v>
      </c>
      <c r="B68" s="12" t="n">
        <v>45728.7563657407</v>
      </c>
      <c r="C68" s="7" t="s">
        <v>1117</v>
      </c>
      <c r="D68" s="7" t="s">
        <v>1079</v>
      </c>
      <c r="E68" s="13" t="n">
        <v>0.549016203702195</v>
      </c>
      <c r="F68" s="7" t="str">
        <f aca="false">CONCATENATE(C68,"&gt;",D68)</f>
        <v>WSB320&gt;LLE150</v>
      </c>
      <c r="G68" s="7" t="n">
        <f aca="false">VLOOKUP(F68,De_Para!$B$2:$C$1500,2,0)</f>
        <v>240</v>
      </c>
      <c r="AB68" s="7" t="s">
        <v>25</v>
      </c>
      <c r="AC68" s="11" t="s">
        <v>33</v>
      </c>
    </row>
    <row r="69" customFormat="false" ht="15" hidden="false" customHeight="false" outlineLevel="0" collapsed="false">
      <c r="A69" s="11" t="n">
        <f aca="false">MONTH(B69)</f>
        <v>3</v>
      </c>
      <c r="B69" s="12" t="n">
        <v>45729.057337963</v>
      </c>
      <c r="C69" s="7" t="s">
        <v>1079</v>
      </c>
      <c r="D69" s="7" t="s">
        <v>29</v>
      </c>
      <c r="E69" s="13" t="n">
        <v>0.0432870370350429</v>
      </c>
      <c r="F69" s="7" t="str">
        <f aca="false">CONCATENATE(C69,"&gt;",D69)</f>
        <v>LLE150&gt;K28170</v>
      </c>
      <c r="G69" s="7" t="n">
        <f aca="false">VLOOKUP(F69,De_Para!$B$2:$C$1500,2,0)</f>
        <v>60</v>
      </c>
      <c r="AB69" s="7" t="s">
        <v>33</v>
      </c>
      <c r="AC69" s="11" t="s">
        <v>11</v>
      </c>
    </row>
    <row r="70" customFormat="false" ht="15" hidden="false" customHeight="false" outlineLevel="0" collapsed="false">
      <c r="A70" s="11" t="n">
        <f aca="false">MONTH(B70)</f>
        <v>3</v>
      </c>
      <c r="B70" s="12" t="n">
        <v>45731.1225925926</v>
      </c>
      <c r="C70" s="7" t="s">
        <v>29</v>
      </c>
      <c r="D70" s="7" t="s">
        <v>28</v>
      </c>
      <c r="E70" s="13" t="n">
        <v>0.0142939814759302</v>
      </c>
      <c r="F70" s="7" t="str">
        <f aca="false">CONCATENATE(C70,"&gt;",D70)</f>
        <v>K28170&gt;K28150</v>
      </c>
      <c r="G70" s="7" t="n">
        <f aca="false">VLOOKUP(F70,De_Para!$B$2:$C$1500,2,0)</f>
        <v>20</v>
      </c>
      <c r="AB70" s="7" t="s">
        <v>11</v>
      </c>
      <c r="AC70" s="11" t="s">
        <v>12</v>
      </c>
    </row>
    <row r="71" customFormat="false" ht="15" hidden="false" customHeight="false" outlineLevel="0" collapsed="false">
      <c r="A71" s="11" t="n">
        <f aca="false">MONTH(B71)</f>
        <v>3</v>
      </c>
      <c r="B71" s="12" t="n">
        <v>45733.207337963</v>
      </c>
      <c r="C71" s="7" t="s">
        <v>28</v>
      </c>
      <c r="D71" s="7" t="s">
        <v>1079</v>
      </c>
      <c r="E71" s="13" t="n">
        <v>0.0105902777795563</v>
      </c>
      <c r="F71" s="7" t="str">
        <f aca="false">CONCATENATE(C71,"&gt;",D71)</f>
        <v>K28150&gt;LLE150</v>
      </c>
      <c r="G71" s="7" t="n">
        <f aca="false">VLOOKUP(F71,De_Para!$B$2:$C$1500,2,0)</f>
        <v>0</v>
      </c>
      <c r="AB71" s="7" t="s">
        <v>12</v>
      </c>
      <c r="AC71" s="11" t="s">
        <v>12</v>
      </c>
    </row>
    <row r="72" customFormat="false" ht="15" hidden="false" customHeight="false" outlineLevel="0" collapsed="false">
      <c r="A72" s="11" t="n">
        <f aca="false">MONTH(B72)</f>
        <v>3</v>
      </c>
      <c r="B72" s="12" t="n">
        <v>45734.7412847222</v>
      </c>
      <c r="C72" s="7" t="s">
        <v>1079</v>
      </c>
      <c r="D72" s="7" t="s">
        <v>1080</v>
      </c>
      <c r="E72" s="13" t="n">
        <v>0.05189814815094</v>
      </c>
      <c r="F72" s="7" t="str">
        <f aca="false">CONCATENATE(C72,"&gt;",D72)</f>
        <v>LLE150&gt;LLE170</v>
      </c>
      <c r="G72" s="7" t="n">
        <f aca="false">VLOOKUP(F72,De_Para!$B$2:$C$1500,2,0)</f>
        <v>60</v>
      </c>
      <c r="AB72" s="7" t="s">
        <v>11</v>
      </c>
      <c r="AC72" s="11" t="s">
        <v>12</v>
      </c>
    </row>
    <row r="73" customFormat="false" ht="15" hidden="false" customHeight="false" outlineLevel="0" collapsed="false">
      <c r="A73" s="11" t="n">
        <f aca="false">MONTH(B73)</f>
        <v>3</v>
      </c>
      <c r="B73" s="12" t="n">
        <v>45735.9390277778</v>
      </c>
      <c r="C73" s="7" t="s">
        <v>1080</v>
      </c>
      <c r="D73" s="7" t="s">
        <v>1079</v>
      </c>
      <c r="E73" s="13" t="n">
        <v>0.0465393518534256</v>
      </c>
      <c r="F73" s="7" t="str">
        <f aca="false">CONCATENATE(C73,"&gt;",D73)</f>
        <v>LLE170&gt;LLE150</v>
      </c>
      <c r="G73" s="7" t="n">
        <f aca="false">VLOOKUP(F73,De_Para!$B$2:$C$1500,2,0)</f>
        <v>60</v>
      </c>
      <c r="AB73" s="7" t="s">
        <v>12</v>
      </c>
      <c r="AC73" s="11" t="s">
        <v>10</v>
      </c>
    </row>
    <row r="74" customFormat="false" ht="15" hidden="false" customHeight="false" outlineLevel="0" collapsed="false">
      <c r="A74" s="11" t="n">
        <f aca="false">MONTH(B74)</f>
        <v>3</v>
      </c>
      <c r="B74" s="12" t="n">
        <v>45737.6757986111</v>
      </c>
      <c r="C74" s="7" t="s">
        <v>28</v>
      </c>
      <c r="D74" s="7" t="s">
        <v>1084</v>
      </c>
      <c r="E74" s="13" t="n">
        <v>0.0244212962934398</v>
      </c>
      <c r="F74" s="7" t="str">
        <f aca="false">CONCATENATE(C74,"&gt;",D74)</f>
        <v>K28150&gt;LLE200</v>
      </c>
      <c r="G74" s="7" t="n">
        <f aca="false">VLOOKUP(F74,De_Para!$B$2:$C$1500,2,0)</f>
        <v>60</v>
      </c>
      <c r="AB74" s="7" t="s">
        <v>10</v>
      </c>
      <c r="AC74" s="11" t="s">
        <v>21</v>
      </c>
    </row>
    <row r="75" customFormat="false" ht="15" hidden="false" customHeight="false" outlineLevel="0" collapsed="false">
      <c r="A75" s="11" t="n">
        <f aca="false">MONTH(B75)</f>
        <v>3</v>
      </c>
      <c r="B75" s="12" t="n">
        <v>45739.7960185185</v>
      </c>
      <c r="C75" s="7" t="s">
        <v>1084</v>
      </c>
      <c r="D75" s="7" t="s">
        <v>1080</v>
      </c>
      <c r="E75" s="13" t="n">
        <v>0.223946759266255</v>
      </c>
      <c r="F75" s="7" t="str">
        <f aca="false">CONCATENATE(C75,"&gt;",D75)</f>
        <v>LLE200&gt;LLE170</v>
      </c>
      <c r="G75" s="7" t="n">
        <f aca="false">VLOOKUP(F75,De_Para!$B$2:$C$1500,2,0)</f>
        <v>60</v>
      </c>
      <c r="AB75" s="7" t="s">
        <v>21</v>
      </c>
      <c r="AC75" s="11" t="s">
        <v>20</v>
      </c>
    </row>
    <row r="76" customFormat="false" ht="15" hidden="false" customHeight="false" outlineLevel="0" collapsed="false">
      <c r="A76" s="11" t="n">
        <f aca="false">MONTH(B76)</f>
        <v>3</v>
      </c>
      <c r="B76" s="12" t="n">
        <v>45740.6186921296</v>
      </c>
      <c r="C76" s="7" t="s">
        <v>1080</v>
      </c>
      <c r="D76" s="7" t="s">
        <v>25</v>
      </c>
      <c r="E76" s="13" t="n">
        <v>0.0461111111144419</v>
      </c>
      <c r="F76" s="7" t="str">
        <f aca="false">CONCATENATE(C76,"&gt;",D76)</f>
        <v>LLE170&gt;EWP190</v>
      </c>
      <c r="G76" s="7" t="n">
        <f aca="false">VLOOKUP(F76,De_Para!$B$2:$C$1500,2,0)</f>
        <v>100</v>
      </c>
      <c r="AB76" s="7" t="s">
        <v>20</v>
      </c>
      <c r="AC76" s="11" t="s">
        <v>18</v>
      </c>
    </row>
    <row r="77" customFormat="false" ht="15" hidden="false" customHeight="false" outlineLevel="0" collapsed="false">
      <c r="A77" s="11" t="n">
        <f aca="false">MONTH(B77)</f>
        <v>3</v>
      </c>
      <c r="B77" s="12" t="n">
        <v>45741.8383564815</v>
      </c>
      <c r="C77" s="7" t="s">
        <v>33</v>
      </c>
      <c r="D77" s="7" t="s">
        <v>11</v>
      </c>
      <c r="E77" s="13" t="n">
        <v>0.522627314814599</v>
      </c>
      <c r="F77" s="7" t="str">
        <f aca="false">CONCATENATE(C77,"&gt;",D77)</f>
        <v>EWC190&gt;CHD318</v>
      </c>
      <c r="G77" s="7" t="n">
        <f aca="false">VLOOKUP(F77,De_Para!$B$2:$C$1500,2,0)</f>
        <v>120</v>
      </c>
      <c r="AB77" s="7" t="s">
        <v>18</v>
      </c>
      <c r="AC77" s="11" t="s">
        <v>17</v>
      </c>
    </row>
    <row r="78" customFormat="false" ht="15" hidden="false" customHeight="false" outlineLevel="0" collapsed="false">
      <c r="A78" s="11" t="n">
        <f aca="false">MONTH(B78)</f>
        <v>3</v>
      </c>
      <c r="B78" s="12" t="n">
        <v>45745.3804398148</v>
      </c>
      <c r="C78" s="7" t="s">
        <v>11</v>
      </c>
      <c r="D78" s="7" t="s">
        <v>12</v>
      </c>
      <c r="E78" s="13" t="n">
        <v>0.0390625</v>
      </c>
      <c r="F78" s="7" t="str">
        <f aca="false">CONCATENATE(C78,"&gt;",D78)</f>
        <v>CHD318&gt;CKQ300</v>
      </c>
      <c r="G78" s="7" t="n">
        <f aca="false">VLOOKUP(F78,De_Para!$B$2:$C$1500,2,0)</f>
        <v>15</v>
      </c>
      <c r="AB78" s="7" t="s">
        <v>17</v>
      </c>
      <c r="AC78" s="11" t="s">
        <v>25</v>
      </c>
    </row>
    <row r="79" customFormat="false" ht="15" hidden="false" customHeight="false" outlineLevel="0" collapsed="false">
      <c r="A79" s="11" t="n">
        <f aca="false">MONTH(B79)</f>
        <v>3</v>
      </c>
      <c r="B79" s="12" t="n">
        <v>45746.1973842593</v>
      </c>
      <c r="C79" s="7" t="s">
        <v>11</v>
      </c>
      <c r="D79" s="7" t="s">
        <v>12</v>
      </c>
      <c r="E79" s="13" t="n">
        <v>0.0318287037007394</v>
      </c>
      <c r="F79" s="7" t="str">
        <f aca="false">CONCATENATE(C79,"&gt;",D79)</f>
        <v>CHD318&gt;CKQ300</v>
      </c>
      <c r="G79" s="7" t="n">
        <f aca="false">VLOOKUP(F79,De_Para!$B$2:$C$1500,2,0)</f>
        <v>15</v>
      </c>
      <c r="AB79" s="7" t="s">
        <v>25</v>
      </c>
      <c r="AC79" s="11" t="s">
        <v>30</v>
      </c>
    </row>
    <row r="80" customFormat="false" ht="15" hidden="false" customHeight="false" outlineLevel="0" collapsed="false">
      <c r="A80" s="11" t="n">
        <f aca="false">MONTH(B80)</f>
        <v>3</v>
      </c>
      <c r="B80" s="12" t="n">
        <v>45746.4197222222</v>
      </c>
      <c r="C80" s="7" t="s">
        <v>12</v>
      </c>
      <c r="D80" s="7" t="s">
        <v>10</v>
      </c>
      <c r="E80" s="13" t="n">
        <v>0.0322453703702195</v>
      </c>
      <c r="F80" s="7" t="str">
        <f aca="false">CONCATENATE(C80,"&gt;",D80)</f>
        <v>CKQ300&gt;CKQ276</v>
      </c>
      <c r="G80" s="7" t="n">
        <f aca="false">VLOOKUP(F80,De_Para!$B$2:$C$1500,2,0)</f>
        <v>15</v>
      </c>
      <c r="AB80" s="7" t="s">
        <v>30</v>
      </c>
      <c r="AC80" s="11" t="s">
        <v>29</v>
      </c>
    </row>
    <row r="81" customFormat="false" ht="15" hidden="false" customHeight="false" outlineLevel="0" collapsed="false">
      <c r="A81" s="11" t="n">
        <f aca="false">MONTH(B81)</f>
        <v>3</v>
      </c>
      <c r="B81" s="12" t="n">
        <v>45747.5883333333</v>
      </c>
      <c r="C81" s="7" t="s">
        <v>10</v>
      </c>
      <c r="D81" s="7" t="s">
        <v>21</v>
      </c>
      <c r="E81" s="13" t="n">
        <v>0.430138888885267</v>
      </c>
      <c r="F81" s="7" t="str">
        <f aca="false">CONCATENATE(C81,"&gt;",D81)</f>
        <v>CKQ276&gt;CKF312</v>
      </c>
      <c r="G81" s="7" t="n">
        <f aca="false">VLOOKUP(F81,De_Para!$B$2:$C$1500,2,0)</f>
        <v>40</v>
      </c>
      <c r="AB81" s="7" t="s">
        <v>29</v>
      </c>
      <c r="AC81" s="11" t="s">
        <v>1085</v>
      </c>
    </row>
    <row r="82" customFormat="false" ht="15" hidden="false" customHeight="false" outlineLevel="0" collapsed="false">
      <c r="A82" s="11" t="n">
        <f aca="false">MONTH(B82)</f>
        <v>4</v>
      </c>
      <c r="B82" s="12" t="n">
        <v>45748.6081712963</v>
      </c>
      <c r="C82" s="7" t="s">
        <v>21</v>
      </c>
      <c r="D82" s="7" t="s">
        <v>20</v>
      </c>
      <c r="E82" s="13" t="n">
        <v>0.0348379629649571</v>
      </c>
      <c r="F82" s="7" t="str">
        <f aca="false">CONCATENATE(C82,"&gt;",D82)</f>
        <v>CKF312&gt;CKF285</v>
      </c>
      <c r="G82" s="7" t="n">
        <f aca="false">VLOOKUP(F82,De_Para!$B$2:$C$1500,2,0)</f>
        <v>15</v>
      </c>
      <c r="AB82" s="7" t="s">
        <v>1085</v>
      </c>
      <c r="AC82" s="11" t="s">
        <v>34</v>
      </c>
    </row>
    <row r="83" customFormat="false" ht="15" hidden="false" customHeight="false" outlineLevel="0" collapsed="false">
      <c r="A83" s="11" t="n">
        <f aca="false">MONTH(B83)</f>
        <v>4</v>
      </c>
      <c r="B83" s="12" t="n">
        <v>45749.0826388889</v>
      </c>
      <c r="C83" s="7" t="s">
        <v>20</v>
      </c>
      <c r="D83" s="7" t="s">
        <v>18</v>
      </c>
      <c r="E83" s="13" t="n">
        <v>0.0330439814788406</v>
      </c>
      <c r="F83" s="7" t="str">
        <f aca="false">CONCATENATE(C83,"&gt;",D83)</f>
        <v>CKF285&gt;CKF250</v>
      </c>
      <c r="G83" s="7" t="n">
        <f aca="false">VLOOKUP(F83,De_Para!$B$2:$C$1500,2,0)</f>
        <v>15</v>
      </c>
      <c r="AB83" s="7" t="s">
        <v>34</v>
      </c>
      <c r="AC83" s="11" t="s">
        <v>8</v>
      </c>
    </row>
    <row r="84" customFormat="false" ht="15" hidden="false" customHeight="false" outlineLevel="0" collapsed="false">
      <c r="A84" s="11" t="n">
        <f aca="false">MONTH(B84)</f>
        <v>4</v>
      </c>
      <c r="B84" s="12" t="n">
        <v>45749.8061805556</v>
      </c>
      <c r="C84" s="7" t="s">
        <v>18</v>
      </c>
      <c r="D84" s="7" t="s">
        <v>17</v>
      </c>
      <c r="E84" s="13" t="n">
        <v>0.0399768518545898</v>
      </c>
      <c r="F84" s="7" t="str">
        <f aca="false">CONCATENATE(C84,"&gt;",D84)</f>
        <v>CKF250&gt;CKF233</v>
      </c>
      <c r="G84" s="7" t="n">
        <f aca="false">VLOOKUP(F84,De_Para!$B$2:$C$1500,2,0)</f>
        <v>15</v>
      </c>
      <c r="AB84" s="7" t="s">
        <v>8</v>
      </c>
      <c r="AC84" s="11" t="s">
        <v>25</v>
      </c>
    </row>
    <row r="85" customFormat="false" ht="15" hidden="false" customHeight="false" outlineLevel="0" collapsed="false">
      <c r="A85" s="11" t="n">
        <f aca="false">MONTH(B85)</f>
        <v>4</v>
      </c>
      <c r="B85" s="12" t="n">
        <v>45752.9187615741</v>
      </c>
      <c r="C85" s="7" t="s">
        <v>17</v>
      </c>
      <c r="D85" s="7" t="s">
        <v>25</v>
      </c>
      <c r="E85" s="13" t="n">
        <v>0.0450231481445371</v>
      </c>
      <c r="F85" s="7" t="str">
        <f aca="false">CONCATENATE(C85,"&gt;",D85)</f>
        <v>CKF233&gt;EWP190</v>
      </c>
      <c r="G85" s="7" t="n">
        <f aca="false">VLOOKUP(F85,De_Para!$B$2:$C$1500,2,0)</f>
        <v>65</v>
      </c>
      <c r="AB85" s="7" t="s">
        <v>25</v>
      </c>
      <c r="AC85" s="11" t="s">
        <v>34</v>
      </c>
    </row>
    <row r="86" customFormat="false" ht="15" hidden="false" customHeight="false" outlineLevel="0" collapsed="false">
      <c r="A86" s="11" t="n">
        <f aca="false">MONTH(B86)</f>
        <v>4</v>
      </c>
      <c r="B86" s="12" t="n">
        <v>45753.6704282407</v>
      </c>
      <c r="C86" s="7" t="s">
        <v>25</v>
      </c>
      <c r="D86" s="7" t="s">
        <v>1084</v>
      </c>
      <c r="E86" s="13" t="n">
        <v>0.301388888881775</v>
      </c>
      <c r="F86" s="7" t="str">
        <f aca="false">CONCATENATE(C86,"&gt;",D86)</f>
        <v>EWP190&gt;LLE200</v>
      </c>
      <c r="G86" s="7" t="n">
        <f aca="false">VLOOKUP(F86,De_Para!$B$2:$C$1500,2,0)</f>
        <v>60</v>
      </c>
      <c r="AB86" s="7" t="s">
        <v>34</v>
      </c>
      <c r="AC86" s="11" t="s">
        <v>11</v>
      </c>
    </row>
    <row r="87" customFormat="false" ht="15" hidden="false" customHeight="false" outlineLevel="0" collapsed="false">
      <c r="A87" s="11" t="n">
        <f aca="false">MONTH(B87)</f>
        <v>4</v>
      </c>
      <c r="B87" s="12" t="n">
        <v>45754.4661342593</v>
      </c>
      <c r="C87" s="7" t="s">
        <v>1084</v>
      </c>
      <c r="D87" s="7" t="s">
        <v>1080</v>
      </c>
      <c r="E87" s="13" t="n">
        <v>0.0431712962963502</v>
      </c>
      <c r="F87" s="7" t="str">
        <f aca="false">CONCATENATE(C87,"&gt;",D87)</f>
        <v>LLE200&gt;LLE170</v>
      </c>
      <c r="G87" s="7" t="n">
        <f aca="false">VLOOKUP(F87,De_Para!$B$2:$C$1500,2,0)</f>
        <v>60</v>
      </c>
      <c r="AB87" s="7" t="s">
        <v>11</v>
      </c>
      <c r="AC87" s="11" t="s">
        <v>30</v>
      </c>
    </row>
    <row r="88" customFormat="false" ht="15" hidden="false" customHeight="false" outlineLevel="0" collapsed="false">
      <c r="A88" s="11" t="n">
        <f aca="false">MONTH(B88)</f>
        <v>4</v>
      </c>
      <c r="B88" s="12" t="n">
        <v>45754.678275463</v>
      </c>
      <c r="C88" s="7" t="s">
        <v>1080</v>
      </c>
      <c r="D88" s="7" t="s">
        <v>29</v>
      </c>
      <c r="E88" s="13" t="n">
        <v>0.0412499999947613</v>
      </c>
      <c r="F88" s="7" t="str">
        <f aca="false">CONCATENATE(C88,"&gt;",D88)</f>
        <v>LLE170&gt;K28170</v>
      </c>
      <c r="G88" s="7" t="n">
        <f aca="false">VLOOKUP(F88,De_Para!$B$2:$C$1500,2,0)</f>
        <v>0</v>
      </c>
      <c r="AB88" s="7" t="s">
        <v>30</v>
      </c>
      <c r="AC88" s="11" t="s">
        <v>28</v>
      </c>
    </row>
    <row r="89" customFormat="false" ht="15" hidden="false" customHeight="false" outlineLevel="0" collapsed="false">
      <c r="A89" s="11" t="n">
        <f aca="false">MONTH(B89)</f>
        <v>4</v>
      </c>
      <c r="B89" s="12" t="n">
        <v>45754.8552546296</v>
      </c>
      <c r="C89" s="7" t="s">
        <v>29</v>
      </c>
      <c r="D89" s="7" t="s">
        <v>1080</v>
      </c>
      <c r="E89" s="13" t="n">
        <v>0.046527777776646</v>
      </c>
      <c r="F89" s="7" t="str">
        <f aca="false">CONCATENATE(C89,"&gt;",D89)</f>
        <v>K28170&gt;LLE170</v>
      </c>
      <c r="G89" s="7" t="n">
        <f aca="false">VLOOKUP(F89,De_Para!$B$2:$C$1500,2,0)</f>
        <v>0</v>
      </c>
      <c r="AB89" s="7" t="s">
        <v>28</v>
      </c>
      <c r="AC89" s="11" t="s">
        <v>29</v>
      </c>
    </row>
    <row r="90" customFormat="false" ht="15" hidden="false" customHeight="false" outlineLevel="0" collapsed="false">
      <c r="A90" s="11" t="n">
        <f aca="false">MONTH(B90)</f>
        <v>4</v>
      </c>
      <c r="B90" s="12" t="n">
        <v>45755.4543171296</v>
      </c>
      <c r="C90" s="7" t="s">
        <v>1080</v>
      </c>
      <c r="D90" s="7" t="s">
        <v>1085</v>
      </c>
      <c r="E90" s="13" t="n">
        <v>0.14473379629635</v>
      </c>
      <c r="F90" s="7" t="str">
        <f aca="false">CONCATENATE(C90,"&gt;",D90)</f>
        <v>LLE170&gt;EKW200</v>
      </c>
      <c r="G90" s="7" t="n">
        <f aca="false">VLOOKUP(F90,De_Para!$B$2:$C$1500,2,0)</f>
        <v>100</v>
      </c>
      <c r="AB90" s="7" t="s">
        <v>29</v>
      </c>
      <c r="AC90" s="11" t="s">
        <v>10</v>
      </c>
    </row>
    <row r="91" customFormat="false" ht="15" hidden="false" customHeight="false" outlineLevel="0" collapsed="false">
      <c r="A91" s="11" t="n">
        <f aca="false">MONTH(B91)</f>
        <v>4</v>
      </c>
      <c r="B91" s="12" t="n">
        <v>45757.1495486111</v>
      </c>
      <c r="C91" s="7" t="s">
        <v>1085</v>
      </c>
      <c r="D91" s="7" t="s">
        <v>34</v>
      </c>
      <c r="E91" s="13" t="n">
        <v>0.020613425920601</v>
      </c>
      <c r="F91" s="7" t="str">
        <f aca="false">CONCATENATE(C91,"&gt;",D91)</f>
        <v>EKW200&gt;EKW175</v>
      </c>
      <c r="G91" s="7" t="n">
        <f aca="false">VLOOKUP(F91,De_Para!$B$2:$C$1500,2,0)</f>
        <v>50</v>
      </c>
      <c r="AB91" s="7" t="s">
        <v>10</v>
      </c>
      <c r="AC91" s="11" t="s">
        <v>6</v>
      </c>
    </row>
    <row r="92" customFormat="false" ht="15" hidden="false" customHeight="false" outlineLevel="0" collapsed="false">
      <c r="A92" s="11" t="n">
        <f aca="false">MONTH(B92)</f>
        <v>4</v>
      </c>
      <c r="B92" s="12" t="n">
        <v>45757.6050925926</v>
      </c>
      <c r="C92" s="7" t="s">
        <v>34</v>
      </c>
      <c r="D92" s="7" t="s">
        <v>8</v>
      </c>
      <c r="E92" s="13" t="n">
        <v>0.276550925926131</v>
      </c>
      <c r="F92" s="7" t="str">
        <f aca="false">CONCATENATE(C92,"&gt;",D92)</f>
        <v>EKW175&gt;KKL205</v>
      </c>
      <c r="G92" s="7" t="n">
        <f aca="false">VLOOKUP(F92,De_Para!$B$2:$C$1500,2,0)</f>
        <v>80</v>
      </c>
      <c r="AB92" s="7" t="s">
        <v>6</v>
      </c>
      <c r="AC92" s="11" t="s">
        <v>10</v>
      </c>
    </row>
    <row r="93" customFormat="false" ht="15" hidden="false" customHeight="false" outlineLevel="0" collapsed="false">
      <c r="A93" s="11" t="n">
        <f aca="false">MONTH(B93)</f>
        <v>4</v>
      </c>
      <c r="B93" s="12" t="n">
        <v>45758.2094328704</v>
      </c>
      <c r="C93" s="7" t="s">
        <v>8</v>
      </c>
      <c r="D93" s="7" t="s">
        <v>25</v>
      </c>
      <c r="E93" s="13" t="n">
        <v>0.0296412036987022</v>
      </c>
      <c r="F93" s="7" t="str">
        <f aca="false">CONCATENATE(C93,"&gt;",D93)</f>
        <v>KKL205&gt;EWP190</v>
      </c>
      <c r="G93" s="7" t="n">
        <f aca="false">VLOOKUP(F93,De_Para!$B$2:$C$1500,2,0)</f>
        <v>40</v>
      </c>
      <c r="AB93" s="7" t="s">
        <v>10</v>
      </c>
      <c r="AC93" s="11" t="s">
        <v>25</v>
      </c>
    </row>
    <row r="94" customFormat="false" ht="15" hidden="false" customHeight="false" outlineLevel="0" collapsed="false">
      <c r="A94" s="11" t="n">
        <f aca="false">MONTH(B94)</f>
        <v>4</v>
      </c>
      <c r="B94" s="12" t="n">
        <v>45758.3508101852</v>
      </c>
      <c r="C94" s="7" t="s">
        <v>25</v>
      </c>
      <c r="D94" s="7" t="s">
        <v>34</v>
      </c>
      <c r="E94" s="13" t="n">
        <v>0.0476967592549045</v>
      </c>
      <c r="F94" s="7" t="str">
        <f aca="false">CONCATENATE(C94,"&gt;",D94)</f>
        <v>EWP190&gt;EKW175</v>
      </c>
      <c r="G94" s="7" t="n">
        <f aca="false">VLOOKUP(F94,De_Para!$B$2:$C$1500,2,0)</f>
        <v>60</v>
      </c>
      <c r="AB94" s="7" t="s">
        <v>17</v>
      </c>
      <c r="AC94" s="11" t="s">
        <v>12</v>
      </c>
    </row>
    <row r="95" customFormat="false" ht="15" hidden="false" customHeight="false" outlineLevel="0" collapsed="false">
      <c r="A95" s="11" t="n">
        <f aca="false">MONTH(B95)</f>
        <v>4</v>
      </c>
      <c r="B95" s="12" t="n">
        <v>45759.781400463</v>
      </c>
      <c r="C95" s="7" t="s">
        <v>34</v>
      </c>
      <c r="D95" s="7" t="s">
        <v>11</v>
      </c>
      <c r="E95" s="13" t="n">
        <v>0.0458912036992842</v>
      </c>
      <c r="F95" s="7" t="str">
        <f aca="false">CONCATENATE(C95,"&gt;",D95)</f>
        <v>EKW175&gt;CHD318</v>
      </c>
      <c r="G95" s="7" t="n">
        <f aca="false">VLOOKUP(F95,De_Para!$B$2:$C$1500,2,0)</f>
        <v>90</v>
      </c>
      <c r="AB95" s="7" t="s">
        <v>12</v>
      </c>
      <c r="AC95" s="11" t="s">
        <v>18</v>
      </c>
    </row>
    <row r="96" customFormat="false" ht="15" hidden="false" customHeight="false" outlineLevel="0" collapsed="false">
      <c r="A96" s="11" t="n">
        <f aca="false">MONTH(B96)</f>
        <v>4</v>
      </c>
      <c r="B96" s="12" t="n">
        <v>45764.4940509259</v>
      </c>
      <c r="C96" s="7" t="s">
        <v>11</v>
      </c>
      <c r="D96" s="7" t="s">
        <v>30</v>
      </c>
      <c r="E96" s="13" t="n">
        <v>0.0380787036992842</v>
      </c>
      <c r="F96" s="7" t="str">
        <f aca="false">CONCATENATE(C96,"&gt;",D96)</f>
        <v>CHD318&gt;K28200</v>
      </c>
      <c r="G96" s="7" t="n">
        <f aca="false">VLOOKUP(F96,De_Para!$B$2:$C$1500,2,0)</f>
        <v>100</v>
      </c>
      <c r="AB96" s="7" t="s">
        <v>18</v>
      </c>
      <c r="AC96" s="11" t="s">
        <v>30</v>
      </c>
    </row>
    <row r="97" customFormat="false" ht="15" hidden="false" customHeight="false" outlineLevel="0" collapsed="false">
      <c r="A97" s="11" t="n">
        <f aca="false">MONTH(B97)</f>
        <v>4</v>
      </c>
      <c r="B97" s="12" t="n">
        <v>45765.4872106482</v>
      </c>
      <c r="C97" s="7" t="s">
        <v>30</v>
      </c>
      <c r="D97" s="7" t="s">
        <v>1079</v>
      </c>
      <c r="E97" s="13" t="n">
        <v>0.0494675925947377</v>
      </c>
      <c r="F97" s="7" t="str">
        <f aca="false">CONCATENATE(C97,"&gt;",D97)</f>
        <v>K28200&gt;LLE150</v>
      </c>
      <c r="G97" s="7" t="n">
        <f aca="false">VLOOKUP(F97,De_Para!$B$2:$C$1500,2,0)</f>
        <v>60</v>
      </c>
      <c r="AB97" s="7" t="s">
        <v>30</v>
      </c>
      <c r="AC97" s="11" t="s">
        <v>29</v>
      </c>
    </row>
    <row r="98" customFormat="false" ht="15" hidden="false" customHeight="false" outlineLevel="0" collapsed="false">
      <c r="A98" s="11" t="n">
        <f aca="false">MONTH(B98)</f>
        <v>4</v>
      </c>
      <c r="B98" s="12" t="n">
        <v>45766.2159143519</v>
      </c>
      <c r="C98" s="7" t="s">
        <v>1079</v>
      </c>
      <c r="D98" s="7" t="s">
        <v>28</v>
      </c>
      <c r="E98" s="13" t="n">
        <v>0.0800347222248092</v>
      </c>
      <c r="F98" s="7" t="str">
        <f aca="false">CONCATENATE(C98,"&gt;",D98)</f>
        <v>LLE150&gt;K28150</v>
      </c>
      <c r="G98" s="7" t="n">
        <f aca="false">VLOOKUP(F98,De_Para!$B$2:$C$1500,2,0)</f>
        <v>0</v>
      </c>
      <c r="AB98" s="7" t="s">
        <v>29</v>
      </c>
      <c r="AC98" s="11" t="s">
        <v>32</v>
      </c>
    </row>
    <row r="99" customFormat="false" ht="15" hidden="false" customHeight="false" outlineLevel="0" collapsed="false">
      <c r="A99" s="11" t="n">
        <f aca="false">MONTH(B99)</f>
        <v>4</v>
      </c>
      <c r="B99" s="12" t="n">
        <v>45766.7244675926</v>
      </c>
      <c r="C99" s="7" t="s">
        <v>28</v>
      </c>
      <c r="D99" s="7" t="s">
        <v>1079</v>
      </c>
      <c r="E99" s="13" t="n">
        <v>0.0451967592598521</v>
      </c>
      <c r="F99" s="7" t="str">
        <f aca="false">CONCATENATE(C99,"&gt;",D99)</f>
        <v>K28150&gt;LLE150</v>
      </c>
      <c r="G99" s="7" t="n">
        <f aca="false">VLOOKUP(F99,De_Para!$B$2:$C$1500,2,0)</f>
        <v>0</v>
      </c>
      <c r="AB99" s="7" t="s">
        <v>32</v>
      </c>
      <c r="AC99" s="11" t="s">
        <v>17</v>
      </c>
    </row>
    <row r="100" customFormat="false" ht="15" hidden="false" customHeight="false" outlineLevel="0" collapsed="false">
      <c r="A100" s="11" t="n">
        <f aca="false">MONTH(B100)</f>
        <v>4</v>
      </c>
      <c r="B100" s="12" t="n">
        <v>45769.1978703704</v>
      </c>
      <c r="C100" s="7" t="s">
        <v>1079</v>
      </c>
      <c r="D100" s="7" t="s">
        <v>29</v>
      </c>
      <c r="E100" s="13" t="n">
        <v>0.0110648148183827</v>
      </c>
      <c r="F100" s="7" t="str">
        <f aca="false">CONCATENATE(C100,"&gt;",D100)</f>
        <v>LLE150&gt;K28170</v>
      </c>
      <c r="G100" s="7" t="n">
        <f aca="false">VLOOKUP(F100,De_Para!$B$2:$C$1500,2,0)</f>
        <v>60</v>
      </c>
      <c r="AB100" s="7" t="s">
        <v>17</v>
      </c>
      <c r="AC100" s="11" t="s">
        <v>25</v>
      </c>
    </row>
    <row r="101" customFormat="false" ht="15" hidden="false" customHeight="false" outlineLevel="0" collapsed="false">
      <c r="A101" s="11" t="n">
        <f aca="false">MONTH(B101)</f>
        <v>4</v>
      </c>
      <c r="B101" s="12" t="n">
        <v>45771.8238773148</v>
      </c>
      <c r="C101" s="7" t="s">
        <v>29</v>
      </c>
      <c r="D101" s="7" t="s">
        <v>10</v>
      </c>
      <c r="E101" s="13" t="n">
        <v>0.615439814813726</v>
      </c>
      <c r="F101" s="7" t="str">
        <f aca="false">CONCATENATE(C101,"&gt;",D101)</f>
        <v>K28170&gt;CKQ276</v>
      </c>
      <c r="G101" s="7" t="n">
        <f aca="false">VLOOKUP(F101,De_Para!$B$2:$C$1500,2,0)</f>
        <v>100</v>
      </c>
      <c r="AB101" s="7" t="s">
        <v>25</v>
      </c>
      <c r="AC101" s="11" t="s">
        <v>23</v>
      </c>
    </row>
    <row r="102" customFormat="false" ht="15" hidden="false" customHeight="false" outlineLevel="0" collapsed="false">
      <c r="A102" s="11" t="n">
        <f aca="false">MONTH(B102)</f>
        <v>4</v>
      </c>
      <c r="B102" s="12" t="n">
        <v>45773.4305092593</v>
      </c>
      <c r="C102" s="7" t="s">
        <v>10</v>
      </c>
      <c r="D102" s="7" t="s">
        <v>6</v>
      </c>
      <c r="E102" s="13" t="n">
        <v>0.0335185185249429</v>
      </c>
      <c r="F102" s="7" t="str">
        <f aca="false">CONCATENATE(C102,"&gt;",D102)</f>
        <v>CKQ276&gt;KKC273</v>
      </c>
      <c r="G102" s="7" t="n">
        <f aca="false">VLOOKUP(F102,De_Para!$B$2:$C$1500,2,0)</f>
        <v>0</v>
      </c>
      <c r="AB102" s="7" t="s">
        <v>23</v>
      </c>
      <c r="AC102" s="11" t="s">
        <v>11</v>
      </c>
    </row>
    <row r="103" customFormat="false" ht="15" hidden="false" customHeight="false" outlineLevel="0" collapsed="false">
      <c r="A103" s="11" t="n">
        <f aca="false">MONTH(B103)</f>
        <v>4</v>
      </c>
      <c r="B103" s="12" t="n">
        <v>45773.9367939815</v>
      </c>
      <c r="C103" s="7" t="s">
        <v>6</v>
      </c>
      <c r="D103" s="7" t="s">
        <v>10</v>
      </c>
      <c r="E103" s="13" t="n">
        <v>0.0330902777786832</v>
      </c>
      <c r="F103" s="7" t="str">
        <f aca="false">CONCATENATE(C103,"&gt;",D103)</f>
        <v>KKC273&gt;CKQ276</v>
      </c>
      <c r="G103" s="7" t="n">
        <f aca="false">VLOOKUP(F103,De_Para!$B$2:$C$1500,2,0)</f>
        <v>0</v>
      </c>
      <c r="AB103" s="7" t="s">
        <v>11</v>
      </c>
      <c r="AC103" s="11" t="s">
        <v>23</v>
      </c>
    </row>
    <row r="104" customFormat="false" ht="15" hidden="false" customHeight="false" outlineLevel="0" collapsed="false">
      <c r="A104" s="11" t="n">
        <f aca="false">MONTH(B104)</f>
        <v>4</v>
      </c>
      <c r="B104" s="12" t="n">
        <v>45774.2658564815</v>
      </c>
      <c r="C104" s="7" t="s">
        <v>10</v>
      </c>
      <c r="D104" s="7" t="s">
        <v>25</v>
      </c>
      <c r="E104" s="13" t="n">
        <v>0.0271412037036498</v>
      </c>
      <c r="F104" s="7" t="str">
        <f aca="false">CONCATENATE(C104,"&gt;",D104)</f>
        <v>CKQ276&gt;EWP190</v>
      </c>
      <c r="G104" s="7" t="n">
        <f aca="false">VLOOKUP(F104,De_Para!$B$2:$C$1500,2,0)</f>
        <v>45</v>
      </c>
      <c r="AB104" s="7" t="s">
        <v>23</v>
      </c>
      <c r="AC104" s="11" t="s">
        <v>11</v>
      </c>
    </row>
    <row r="105" customFormat="false" ht="15" hidden="false" customHeight="false" outlineLevel="0" collapsed="false">
      <c r="A105" s="11" t="n">
        <f aca="false">MONTH(B105)</f>
        <v>4</v>
      </c>
      <c r="B105" s="12" t="n">
        <v>45775.0760185185</v>
      </c>
      <c r="C105" s="7" t="s">
        <v>25</v>
      </c>
      <c r="D105" s="7" t="s">
        <v>17</v>
      </c>
      <c r="E105" s="13" t="n">
        <v>0.298090277778101</v>
      </c>
      <c r="F105" s="7" t="str">
        <f aca="false">CONCATENATE(C105,"&gt;",D105)</f>
        <v>EWP190&gt;CKF233</v>
      </c>
      <c r="G105" s="7" t="n">
        <f aca="false">VLOOKUP(F105,De_Para!$B$2:$C$1500,2,0)</f>
        <v>60</v>
      </c>
      <c r="AB105" s="7" t="s">
        <v>11</v>
      </c>
      <c r="AC105" s="11" t="s">
        <v>25</v>
      </c>
    </row>
    <row r="106" customFormat="false" ht="15" hidden="false" customHeight="false" outlineLevel="0" collapsed="false">
      <c r="A106" s="11" t="n">
        <f aca="false">MONTH(B106)</f>
        <v>4</v>
      </c>
      <c r="B106" s="12" t="n">
        <v>45775.9944675926</v>
      </c>
      <c r="C106" s="7" t="s">
        <v>17</v>
      </c>
      <c r="D106" s="7" t="s">
        <v>12</v>
      </c>
      <c r="E106" s="13" t="n">
        <v>0.706817129634146</v>
      </c>
      <c r="F106" s="7" t="str">
        <f aca="false">CONCATENATE(C106,"&gt;",D106)</f>
        <v>CKF233&gt;CKQ300</v>
      </c>
      <c r="G106" s="7" t="n">
        <f aca="false">VLOOKUP(F106,De_Para!$B$2:$C$1500,2,0)</f>
        <v>35</v>
      </c>
      <c r="AB106" s="7" t="s">
        <v>25</v>
      </c>
      <c r="AC106" s="11" t="s">
        <v>32</v>
      </c>
    </row>
    <row r="107" customFormat="false" ht="15" hidden="false" customHeight="false" outlineLevel="0" collapsed="false">
      <c r="A107" s="11" t="n">
        <f aca="false">MONTH(B107)</f>
        <v>4</v>
      </c>
      <c r="B107" s="12" t="n">
        <v>45777.2384259259</v>
      </c>
      <c r="C107" s="7" t="s">
        <v>12</v>
      </c>
      <c r="D107" s="7" t="s">
        <v>18</v>
      </c>
      <c r="E107" s="13" t="n">
        <v>0.19211805555824</v>
      </c>
      <c r="F107" s="7" t="str">
        <f aca="false">CONCATENATE(C107,"&gt;",D107)</f>
        <v>CKQ300&gt;CKF250</v>
      </c>
      <c r="G107" s="7" t="n">
        <f aca="false">VLOOKUP(F107,De_Para!$B$2:$C$1500,2,0)</f>
        <v>35</v>
      </c>
      <c r="AB107" s="7" t="s">
        <v>32</v>
      </c>
      <c r="AC107" s="11" t="s">
        <v>34</v>
      </c>
    </row>
    <row r="108" customFormat="false" ht="15" hidden="false" customHeight="false" outlineLevel="0" collapsed="false">
      <c r="A108" s="11" t="n">
        <f aca="false">MONTH(B108)</f>
        <v>5</v>
      </c>
      <c r="B108" s="12" t="n">
        <v>45778.9252777778</v>
      </c>
      <c r="C108" s="7" t="s">
        <v>18</v>
      </c>
      <c r="D108" s="7" t="s">
        <v>1084</v>
      </c>
      <c r="E108" s="13" t="n">
        <v>0.75461805555824</v>
      </c>
      <c r="F108" s="7" t="str">
        <f aca="false">CONCATENATE(C108,"&gt;",D108)</f>
        <v>CKF250&gt;LLE200</v>
      </c>
      <c r="G108" s="7" t="n">
        <f aca="false">VLOOKUP(F108,De_Para!$B$2:$C$1500,2,0)</f>
        <v>60</v>
      </c>
      <c r="AB108" s="7" t="s">
        <v>34</v>
      </c>
      <c r="AC108" s="11" t="s">
        <v>29</v>
      </c>
    </row>
    <row r="109" customFormat="false" ht="15" hidden="false" customHeight="false" outlineLevel="0" collapsed="false">
      <c r="A109" s="11" t="n">
        <f aca="false">MONTH(B109)</f>
        <v>5</v>
      </c>
      <c r="B109" s="12" t="n">
        <v>45779.4980671296</v>
      </c>
      <c r="C109" s="7" t="s">
        <v>1084</v>
      </c>
      <c r="D109" s="7" t="s">
        <v>29</v>
      </c>
      <c r="E109" s="13" t="n">
        <v>0.0206712962972233</v>
      </c>
      <c r="F109" s="7" t="str">
        <f aca="false">CONCATENATE(C109,"&gt;",D109)</f>
        <v>LLE200&gt;K28170</v>
      </c>
      <c r="G109" s="7" t="n">
        <f aca="false">VLOOKUP(F109,De_Para!$B$2:$C$1500,2,0)</f>
        <v>60</v>
      </c>
      <c r="AB109" s="7" t="s">
        <v>29</v>
      </c>
      <c r="AC109" s="11" t="s">
        <v>28</v>
      </c>
    </row>
    <row r="110" customFormat="false" ht="15" hidden="false" customHeight="false" outlineLevel="0" collapsed="false">
      <c r="A110" s="11" t="n">
        <f aca="false">MONTH(B110)</f>
        <v>5</v>
      </c>
      <c r="B110" s="12" t="n">
        <v>45781.416724537</v>
      </c>
      <c r="C110" s="7" t="s">
        <v>1080</v>
      </c>
      <c r="D110" s="7" t="s">
        <v>32</v>
      </c>
      <c r="E110" s="13" t="n">
        <v>0.0511574074043892</v>
      </c>
      <c r="F110" s="7" t="str">
        <f aca="false">CONCATENATE(C110,"&gt;",D110)</f>
        <v>LLE170&gt;EWC175</v>
      </c>
      <c r="G110" s="7" t="n">
        <f aca="false">VLOOKUP(F110,De_Para!$B$2:$C$1500,2,0)</f>
        <v>100</v>
      </c>
      <c r="AB110" s="7" t="s">
        <v>28</v>
      </c>
      <c r="AC110" s="11" t="s">
        <v>30</v>
      </c>
    </row>
    <row r="111" customFormat="false" ht="15" hidden="false" customHeight="false" outlineLevel="0" collapsed="false">
      <c r="A111" s="11" t="n">
        <f aca="false">MONTH(B111)</f>
        <v>5</v>
      </c>
      <c r="B111" s="12" t="n">
        <v>45781.8548611111</v>
      </c>
      <c r="C111" s="7" t="s">
        <v>32</v>
      </c>
      <c r="D111" s="7" t="s">
        <v>17</v>
      </c>
      <c r="E111" s="13" t="n">
        <v>0.1488425925927</v>
      </c>
      <c r="F111" s="7" t="str">
        <f aca="false">CONCATENATE(C111,"&gt;",D111)</f>
        <v>EWC175&gt;CKF233</v>
      </c>
      <c r="G111" s="7" t="n">
        <f aca="false">VLOOKUP(F111,De_Para!$B$2:$C$1500,2,0)</f>
        <v>60</v>
      </c>
      <c r="AB111" s="7" t="s">
        <v>30</v>
      </c>
      <c r="AC111" s="11" t="s">
        <v>34</v>
      </c>
    </row>
    <row r="112" customFormat="false" ht="15" hidden="false" customHeight="false" outlineLevel="0" collapsed="false">
      <c r="A112" s="11" t="n">
        <f aca="false">MONTH(B112)</f>
        <v>5</v>
      </c>
      <c r="B112" s="12" t="n">
        <v>45782.3415972222</v>
      </c>
      <c r="C112" s="7" t="s">
        <v>17</v>
      </c>
      <c r="D112" s="7" t="s">
        <v>25</v>
      </c>
      <c r="E112" s="13" t="n">
        <v>0.0488888888867223</v>
      </c>
      <c r="F112" s="7" t="str">
        <f aca="false">CONCATENATE(C112,"&gt;",D112)</f>
        <v>CKF233&gt;EWP190</v>
      </c>
      <c r="G112" s="7" t="n">
        <f aca="false">VLOOKUP(F112,De_Para!$B$2:$C$1500,2,0)</f>
        <v>65</v>
      </c>
      <c r="AB112" s="7" t="s">
        <v>34</v>
      </c>
      <c r="AC112" s="11" t="s">
        <v>1085</v>
      </c>
    </row>
    <row r="113" customFormat="false" ht="15" hidden="false" customHeight="false" outlineLevel="0" collapsed="false">
      <c r="A113" s="11" t="n">
        <f aca="false">MONTH(B113)</f>
        <v>5</v>
      </c>
      <c r="B113" s="12" t="n">
        <v>45783.5330787037</v>
      </c>
      <c r="C113" s="7" t="s">
        <v>25</v>
      </c>
      <c r="D113" s="7" t="s">
        <v>23</v>
      </c>
      <c r="E113" s="13" t="n">
        <v>0.0882986111100763</v>
      </c>
      <c r="F113" s="7" t="str">
        <f aca="false">CONCATENATE(C113,"&gt;",D113)</f>
        <v>EWP190&gt;CKF360</v>
      </c>
      <c r="G113" s="7" t="n">
        <f aca="false">VLOOKUP(F113,De_Para!$B$2:$C$1500,2,0)</f>
        <v>70</v>
      </c>
      <c r="AB113" s="7" t="s">
        <v>1085</v>
      </c>
      <c r="AC113" s="11" t="s">
        <v>29</v>
      </c>
    </row>
    <row r="114" customFormat="false" ht="15" hidden="false" customHeight="false" outlineLevel="0" collapsed="false">
      <c r="A114" s="11" t="n">
        <f aca="false">MONTH(B114)</f>
        <v>5</v>
      </c>
      <c r="B114" s="12" t="n">
        <v>45783.8543055556</v>
      </c>
      <c r="C114" s="7" t="s">
        <v>23</v>
      </c>
      <c r="D114" s="7" t="s">
        <v>11</v>
      </c>
      <c r="E114" s="13" t="n">
        <v>0.286111111112405</v>
      </c>
      <c r="F114" s="7" t="str">
        <f aca="false">CONCATENATE(C114,"&gt;",D114)</f>
        <v>CKF360&gt;CHD318</v>
      </c>
      <c r="G114" s="7" t="n">
        <f aca="false">VLOOKUP(F114,De_Para!$B$2:$C$1500,2,0)</f>
        <v>40</v>
      </c>
      <c r="AB114" s="7" t="s">
        <v>29</v>
      </c>
      <c r="AC114" s="11" t="s">
        <v>1118</v>
      </c>
    </row>
    <row r="115" customFormat="false" ht="15" hidden="false" customHeight="false" outlineLevel="0" collapsed="false">
      <c r="A115" s="11" t="n">
        <f aca="false">MONTH(B115)</f>
        <v>5</v>
      </c>
      <c r="B115" s="12" t="n">
        <v>45784.4093402778</v>
      </c>
      <c r="C115" s="7" t="s">
        <v>11</v>
      </c>
      <c r="D115" s="7" t="s">
        <v>23</v>
      </c>
      <c r="E115" s="13" t="n">
        <v>0.0333333333328483</v>
      </c>
      <c r="F115" s="7" t="str">
        <f aca="false">CONCATENATE(C115,"&gt;",D115)</f>
        <v>CHD318&gt;CKF360</v>
      </c>
      <c r="G115" s="7" t="n">
        <f aca="false">VLOOKUP(F115,De_Para!$B$2:$C$1500,2,0)</f>
        <v>40</v>
      </c>
      <c r="AB115" s="7" t="s">
        <v>1118</v>
      </c>
      <c r="AC115" s="11" t="s">
        <v>1119</v>
      </c>
    </row>
    <row r="116" customFormat="false" ht="15" hidden="false" customHeight="false" outlineLevel="0" collapsed="false">
      <c r="A116" s="11" t="n">
        <f aca="false">MONTH(B116)</f>
        <v>5</v>
      </c>
      <c r="B116" s="12" t="n">
        <v>45784.7574189815</v>
      </c>
      <c r="C116" s="7" t="s">
        <v>23</v>
      </c>
      <c r="D116" s="7" t="s">
        <v>11</v>
      </c>
      <c r="E116" s="13" t="n">
        <v>0.0406712963012978</v>
      </c>
      <c r="F116" s="7" t="str">
        <f aca="false">CONCATENATE(C116,"&gt;",D116)</f>
        <v>CKF360&gt;CHD318</v>
      </c>
      <c r="G116" s="7" t="n">
        <f aca="false">VLOOKUP(F116,De_Para!$B$2:$C$1500,2,0)</f>
        <v>40</v>
      </c>
      <c r="AB116" s="7" t="s">
        <v>1119</v>
      </c>
      <c r="AC116" s="11" t="s">
        <v>1119</v>
      </c>
    </row>
    <row r="117" customFormat="false" ht="15" hidden="false" customHeight="false" outlineLevel="0" collapsed="false">
      <c r="A117" s="11" t="n">
        <f aca="false">MONTH(B117)</f>
        <v>5</v>
      </c>
      <c r="B117" s="12" t="n">
        <v>45790.6683333333</v>
      </c>
      <c r="C117" s="7" t="s">
        <v>11</v>
      </c>
      <c r="D117" s="7" t="s">
        <v>25</v>
      </c>
      <c r="E117" s="13" t="n">
        <v>0.0434027777810115</v>
      </c>
      <c r="F117" s="7" t="str">
        <f aca="false">CONCATENATE(C117,"&gt;",D117)</f>
        <v>CHD318&gt;EWP190</v>
      </c>
      <c r="G117" s="7" t="n">
        <f aca="false">VLOOKUP(F117,De_Para!$B$2:$C$1500,2,0)</f>
        <v>120</v>
      </c>
      <c r="AB117" s="7" t="s">
        <v>29</v>
      </c>
      <c r="AC117" s="11" t="s">
        <v>1119</v>
      </c>
    </row>
    <row r="118" customFormat="false" ht="15" hidden="false" customHeight="false" outlineLevel="0" collapsed="false">
      <c r="A118" s="11" t="n">
        <f aca="false">MONTH(B118)</f>
        <v>5</v>
      </c>
      <c r="B118" s="12" t="n">
        <v>45791.9708564815</v>
      </c>
      <c r="C118" s="7" t="s">
        <v>25</v>
      </c>
      <c r="D118" s="7" t="s">
        <v>32</v>
      </c>
      <c r="E118" s="13" t="n">
        <v>0.0533564814759302</v>
      </c>
      <c r="F118" s="7" t="str">
        <f aca="false">CONCATENATE(C118,"&gt;",D118)</f>
        <v>EWP190&gt;EWC175</v>
      </c>
      <c r="G118" s="7" t="n">
        <f aca="false">VLOOKUP(F118,De_Para!$B$2:$C$1500,2,0)</f>
        <v>60</v>
      </c>
      <c r="AB118" s="7" t="s">
        <v>1119</v>
      </c>
      <c r="AC118" s="11" t="s">
        <v>28</v>
      </c>
    </row>
    <row r="119" customFormat="false" ht="15" hidden="false" customHeight="false" outlineLevel="0" collapsed="false">
      <c r="A119" s="11" t="n">
        <f aca="false">MONTH(B119)</f>
        <v>5</v>
      </c>
      <c r="B119" s="12" t="n">
        <v>45792.4636805556</v>
      </c>
      <c r="C119" s="7" t="s">
        <v>32</v>
      </c>
      <c r="D119" s="7" t="s">
        <v>34</v>
      </c>
      <c r="E119" s="13" t="n">
        <v>0.0248842592627625</v>
      </c>
      <c r="F119" s="7" t="str">
        <f aca="false">CONCATENATE(C119,"&gt;",D119)</f>
        <v>EWC175&gt;EKW175</v>
      </c>
      <c r="G119" s="7" t="n">
        <f aca="false">VLOOKUP(F119,De_Para!$B$2:$C$1500,2,0)</f>
        <v>80</v>
      </c>
      <c r="AB119" s="7" t="s">
        <v>28</v>
      </c>
      <c r="AC119" s="11" t="s">
        <v>30</v>
      </c>
    </row>
    <row r="120" customFormat="false" ht="15" hidden="false" customHeight="false" outlineLevel="0" collapsed="false">
      <c r="A120" s="11" t="n">
        <f aca="false">MONTH(B120)</f>
        <v>5</v>
      </c>
      <c r="B120" s="12" t="n">
        <v>45792.7609027778</v>
      </c>
      <c r="C120" s="7" t="s">
        <v>34</v>
      </c>
      <c r="D120" s="7" t="s">
        <v>1080</v>
      </c>
      <c r="E120" s="13" t="n">
        <v>0.0509953703731298</v>
      </c>
      <c r="F120" s="7" t="str">
        <f aca="false">CONCATENATE(C120,"&gt;",D120)</f>
        <v>EKW175&gt;LLE170</v>
      </c>
      <c r="G120" s="7" t="n">
        <f aca="false">VLOOKUP(F120,De_Para!$B$2:$C$1500,2,0)</f>
        <v>120</v>
      </c>
      <c r="AB120" s="7" t="s">
        <v>30</v>
      </c>
      <c r="AC120" s="11" t="s">
        <v>29</v>
      </c>
    </row>
    <row r="121" customFormat="false" ht="15" hidden="false" customHeight="false" outlineLevel="0" collapsed="false">
      <c r="A121" s="11" t="n">
        <f aca="false">MONTH(B121)</f>
        <v>5</v>
      </c>
      <c r="B121" s="12" t="n">
        <v>45794.0308449074</v>
      </c>
      <c r="C121" s="7" t="s">
        <v>1080</v>
      </c>
      <c r="D121" s="7" t="s">
        <v>1079</v>
      </c>
      <c r="E121" s="13" t="n">
        <v>0.0529050925906631</v>
      </c>
      <c r="F121" s="7" t="str">
        <f aca="false">CONCATENATE(C121,"&gt;",D121)</f>
        <v>LLE170&gt;LLE150</v>
      </c>
      <c r="G121" s="7" t="n">
        <f aca="false">VLOOKUP(F121,De_Para!$B$2:$C$1500,2,0)</f>
        <v>60</v>
      </c>
      <c r="AB121" s="7" t="s">
        <v>29</v>
      </c>
      <c r="AC121" s="11" t="s">
        <v>6</v>
      </c>
    </row>
    <row r="122" customFormat="false" ht="15" hidden="false" customHeight="false" outlineLevel="0" collapsed="false">
      <c r="A122" s="11" t="n">
        <f aca="false">MONTH(B122)</f>
        <v>5</v>
      </c>
      <c r="B122" s="12" t="n">
        <v>45794.6231365741</v>
      </c>
      <c r="C122" s="7" t="s">
        <v>1079</v>
      </c>
      <c r="D122" s="7" t="s">
        <v>1084</v>
      </c>
      <c r="E122" s="13" t="n">
        <v>0.0252314814788406</v>
      </c>
      <c r="F122" s="7" t="str">
        <f aca="false">CONCATENATE(C122,"&gt;",D122)</f>
        <v>LLE150&gt;LLE200</v>
      </c>
      <c r="G122" s="7" t="n">
        <f aca="false">VLOOKUP(F122,De_Para!$B$2:$C$1500,2,0)</f>
        <v>60</v>
      </c>
      <c r="AB122" s="7" t="s">
        <v>28</v>
      </c>
      <c r="AC122" s="11" t="s">
        <v>6</v>
      </c>
    </row>
    <row r="123" customFormat="false" ht="15" hidden="false" customHeight="false" outlineLevel="0" collapsed="false">
      <c r="A123" s="11" t="n">
        <f aca="false">MONTH(B123)</f>
        <v>5</v>
      </c>
      <c r="B123" s="12" t="n">
        <v>45795.0103935185</v>
      </c>
      <c r="C123" s="7" t="s">
        <v>1084</v>
      </c>
      <c r="D123" s="7" t="s">
        <v>34</v>
      </c>
      <c r="E123" s="13" t="n">
        <v>0.0499305555567844</v>
      </c>
      <c r="F123" s="7" t="str">
        <f aca="false">CONCATENATE(C123,"&gt;",D123)</f>
        <v>LLE200&gt;EKW175</v>
      </c>
      <c r="G123" s="7" t="n">
        <f aca="false">VLOOKUP(F123,De_Para!$B$2:$C$1500,2,0)</f>
        <v>100</v>
      </c>
      <c r="AB123" s="7" t="s">
        <v>6</v>
      </c>
      <c r="AC123" s="11" t="s">
        <v>6</v>
      </c>
    </row>
    <row r="124" customFormat="false" ht="15" hidden="false" customHeight="false" outlineLevel="0" collapsed="false">
      <c r="A124" s="11" t="n">
        <f aca="false">MONTH(B124)</f>
        <v>5</v>
      </c>
      <c r="B124" s="12" t="n">
        <v>45797.0710069445</v>
      </c>
      <c r="C124" s="7" t="s">
        <v>34</v>
      </c>
      <c r="D124" s="7" t="s">
        <v>1085</v>
      </c>
      <c r="E124" s="13" t="n">
        <v>0.0340162037027767</v>
      </c>
      <c r="F124" s="7" t="str">
        <f aca="false">CONCATENATE(C124,"&gt;",D124)</f>
        <v>EKW175&gt;EKW200</v>
      </c>
      <c r="G124" s="7" t="n">
        <f aca="false">VLOOKUP(F124,De_Para!$B$2:$C$1500,2,0)</f>
        <v>50</v>
      </c>
      <c r="AB124" s="7" t="s">
        <v>19</v>
      </c>
      <c r="AC124" s="11" t="s">
        <v>6</v>
      </c>
    </row>
    <row r="125" customFormat="false" ht="15" hidden="false" customHeight="false" outlineLevel="0" collapsed="false">
      <c r="A125" s="11" t="n">
        <f aca="false">MONTH(B125)</f>
        <v>5</v>
      </c>
      <c r="B125" s="12" t="n">
        <v>45797.9306712963</v>
      </c>
      <c r="C125" s="7" t="s">
        <v>1085</v>
      </c>
      <c r="D125" s="7" t="s">
        <v>1080</v>
      </c>
      <c r="E125" s="13" t="n">
        <v>0.120949074072996</v>
      </c>
      <c r="F125" s="7" t="str">
        <f aca="false">CONCATENATE(C125,"&gt;",D125)</f>
        <v>EKW200&gt;LLE170</v>
      </c>
      <c r="G125" s="7" t="n">
        <f aca="false">VLOOKUP(F125,De_Para!$B$2:$C$1500,2,0)</f>
        <v>65</v>
      </c>
      <c r="AB125" s="7" t="s">
        <v>6</v>
      </c>
      <c r="AC125" s="11" t="s">
        <v>19</v>
      </c>
    </row>
    <row r="126" customFormat="false" ht="15" hidden="false" customHeight="false" outlineLevel="0" collapsed="false">
      <c r="A126" s="11" t="n">
        <f aca="false">MONTH(B126)</f>
        <v>5</v>
      </c>
      <c r="B126" s="12" t="n">
        <v>45798.4255671296</v>
      </c>
      <c r="C126" s="7" t="s">
        <v>1080</v>
      </c>
      <c r="D126" s="7" t="s">
        <v>1120</v>
      </c>
      <c r="E126" s="13" t="n">
        <v>0.0390625</v>
      </c>
      <c r="F126" s="7" t="str">
        <f aca="false">CONCATENATE(C126,"&gt;",D126)</f>
        <v>LLE170&gt;LLE240</v>
      </c>
      <c r="G126" s="7" t="n">
        <f aca="false">VLOOKUP(F126,De_Para!$B$2:$C$1500,2,0)</f>
        <v>60</v>
      </c>
      <c r="AB126" s="7" t="s">
        <v>19</v>
      </c>
      <c r="AC126" s="11" t="s">
        <v>29</v>
      </c>
    </row>
    <row r="127" customFormat="false" ht="15" hidden="false" customHeight="false" outlineLevel="0" collapsed="false">
      <c r="A127" s="11" t="n">
        <f aca="false">MONTH(B127)</f>
        <v>5</v>
      </c>
      <c r="B127" s="12" t="n">
        <v>45798.7925115741</v>
      </c>
      <c r="C127" s="7" t="s">
        <v>1120</v>
      </c>
      <c r="D127" s="7" t="s">
        <v>1121</v>
      </c>
      <c r="E127" s="13" t="n">
        <v>0.0373148148137261</v>
      </c>
      <c r="F127" s="7" t="str">
        <f aca="false">CONCATENATE(C127,"&gt;",D127)</f>
        <v>LLE240&gt;LLE280</v>
      </c>
      <c r="G127" s="7" t="n">
        <f aca="false">VLOOKUP(F127,De_Para!$B$2:$C$1500,2,0)</f>
        <v>60</v>
      </c>
      <c r="AB127" s="7" t="s">
        <v>29</v>
      </c>
      <c r="AC127" s="11" t="s">
        <v>28</v>
      </c>
    </row>
    <row r="128" customFormat="false" ht="15" hidden="false" customHeight="false" outlineLevel="0" collapsed="false">
      <c r="A128" s="11" t="n">
        <f aca="false">MONTH(B128)</f>
        <v>5</v>
      </c>
      <c r="B128" s="12" t="n">
        <v>45799.106400463</v>
      </c>
      <c r="C128" s="7" t="s">
        <v>1121</v>
      </c>
      <c r="D128" s="7" t="s">
        <v>1121</v>
      </c>
      <c r="E128" s="13" t="n">
        <v>0.185706018521159</v>
      </c>
      <c r="F128" s="7" t="str">
        <f aca="false">CONCATENATE(C128,"&gt;",D128)</f>
        <v>LLE280&gt;LLE280</v>
      </c>
      <c r="G128" s="7" t="n">
        <f aca="false">VLOOKUP(F128,De_Para!$B$2:$C$1500,2,0)</f>
        <v>60</v>
      </c>
      <c r="AB128" s="7" t="s">
        <v>28</v>
      </c>
      <c r="AC128" s="11" t="s">
        <v>28</v>
      </c>
    </row>
    <row r="129" customFormat="false" ht="15" hidden="false" customHeight="false" outlineLevel="0" collapsed="false">
      <c r="A129" s="11" t="n">
        <f aca="false">MONTH(B129)</f>
        <v>5</v>
      </c>
      <c r="B129" s="12" t="n">
        <v>45799.1504976852</v>
      </c>
      <c r="C129" s="7" t="s">
        <v>1080</v>
      </c>
      <c r="D129" s="7" t="s">
        <v>1121</v>
      </c>
      <c r="E129" s="13" t="n">
        <v>0.0440972222204437</v>
      </c>
      <c r="F129" s="7" t="str">
        <f aca="false">CONCATENATE(C129,"&gt;",D129)</f>
        <v>LLE170&gt;LLE280</v>
      </c>
      <c r="G129" s="7" t="n">
        <f aca="false">VLOOKUP(F129,De_Para!$B$2:$C$1500,2,0)</f>
        <v>60</v>
      </c>
      <c r="AB129" s="7" t="s">
        <v>29</v>
      </c>
      <c r="AC129" s="11" t="s">
        <v>28</v>
      </c>
    </row>
    <row r="130" customFormat="false" ht="15" hidden="false" customHeight="false" outlineLevel="0" collapsed="false">
      <c r="A130" s="11" t="n">
        <f aca="false">MONTH(B130)</f>
        <v>5</v>
      </c>
      <c r="B130" s="12" t="n">
        <v>45799.3401388889</v>
      </c>
      <c r="C130" s="7" t="s">
        <v>1121</v>
      </c>
      <c r="D130" s="7" t="s">
        <v>28</v>
      </c>
      <c r="E130" s="13" t="n">
        <v>0.0424768518496421</v>
      </c>
      <c r="F130" s="7" t="str">
        <f aca="false">CONCATENATE(C130,"&gt;",D130)</f>
        <v>LLE280&gt;K28150</v>
      </c>
      <c r="G130" s="7" t="n">
        <f aca="false">VLOOKUP(F130,De_Para!$B$2:$C$1500,2,0)</f>
        <v>60</v>
      </c>
      <c r="AB130" s="7" t="s">
        <v>28</v>
      </c>
      <c r="AC130" s="11" t="s">
        <v>29</v>
      </c>
    </row>
    <row r="131" customFormat="false" ht="15" hidden="false" customHeight="false" outlineLevel="0" collapsed="false">
      <c r="A131" s="11" t="n">
        <f aca="false">MONTH(B131)</f>
        <v>5</v>
      </c>
      <c r="B131" s="12" t="n">
        <v>45799.5475462963</v>
      </c>
      <c r="C131" s="7" t="s">
        <v>28</v>
      </c>
      <c r="D131" s="7" t="s">
        <v>1084</v>
      </c>
      <c r="E131" s="13" t="n">
        <v>0.0324189814782585</v>
      </c>
      <c r="F131" s="7" t="str">
        <f aca="false">CONCATENATE(C131,"&gt;",D131)</f>
        <v>K28150&gt;LLE200</v>
      </c>
      <c r="G131" s="7" t="n">
        <f aca="false">VLOOKUP(F131,De_Para!$B$2:$C$1500,2,0)</f>
        <v>60</v>
      </c>
      <c r="AB131" s="7" t="s">
        <v>29</v>
      </c>
      <c r="AC131" s="11" t="s">
        <v>28</v>
      </c>
    </row>
    <row r="132" customFormat="false" ht="15" hidden="false" customHeight="false" outlineLevel="0" collapsed="false">
      <c r="A132" s="11" t="n">
        <f aca="false">MONTH(B132)</f>
        <v>5</v>
      </c>
      <c r="B132" s="12" t="n">
        <v>45802.8471990741</v>
      </c>
      <c r="C132" s="7" t="s">
        <v>30</v>
      </c>
      <c r="D132" s="7" t="s">
        <v>29</v>
      </c>
      <c r="E132" s="13" t="n">
        <v>0.0147569444452529</v>
      </c>
      <c r="F132" s="7" t="str">
        <f aca="false">CONCATENATE(C132,"&gt;",D132)</f>
        <v>K28200&gt;K28170</v>
      </c>
      <c r="G132" s="7" t="n">
        <f aca="false">VLOOKUP(F132,De_Para!$B$2:$C$1500,2,0)</f>
        <v>15</v>
      </c>
      <c r="AB132" s="7" t="s">
        <v>28</v>
      </c>
      <c r="AC132" s="11" t="s">
        <v>18</v>
      </c>
    </row>
    <row r="133" customFormat="false" ht="15" hidden="false" customHeight="false" outlineLevel="0" collapsed="false">
      <c r="A133" s="11" t="n">
        <f aca="false">MONTH(B133)</f>
        <v>5</v>
      </c>
      <c r="B133" s="12" t="n">
        <v>45804.3735648148</v>
      </c>
      <c r="C133" s="7" t="s">
        <v>29</v>
      </c>
      <c r="D133" s="7" t="s">
        <v>6</v>
      </c>
      <c r="E133" s="13" t="n">
        <v>0.0454282407372375</v>
      </c>
      <c r="F133" s="7" t="str">
        <f aca="false">CONCATENATE(C133,"&gt;",D133)</f>
        <v>K28170&gt;KKC273</v>
      </c>
      <c r="G133" s="7" t="n">
        <f aca="false">VLOOKUP(F133,De_Para!$B$2:$C$1500,2,0)</f>
        <v>100</v>
      </c>
      <c r="AB133" s="7" t="s">
        <v>18</v>
      </c>
      <c r="AC133" s="11" t="s">
        <v>20</v>
      </c>
    </row>
    <row r="134" customFormat="false" ht="15" hidden="false" customHeight="false" outlineLevel="0" collapsed="false">
      <c r="A134" s="11" t="n">
        <f aca="false">MONTH(B134)</f>
        <v>5</v>
      </c>
      <c r="B134" s="12" t="n">
        <v>45804.4183680556</v>
      </c>
      <c r="C134" s="7" t="s">
        <v>28</v>
      </c>
      <c r="D134" s="7" t="s">
        <v>6</v>
      </c>
      <c r="E134" s="13" t="n">
        <v>0.0448032407439314</v>
      </c>
      <c r="F134" s="7" t="str">
        <f aca="false">CONCATENATE(C134,"&gt;",D134)</f>
        <v>K28150&gt;KKC273</v>
      </c>
      <c r="G134" s="7" t="n">
        <f aca="false">VLOOKUP(F134,De_Para!$B$2:$C$1500,2,0)</f>
        <v>120</v>
      </c>
      <c r="AB134" s="7" t="s">
        <v>20</v>
      </c>
      <c r="AC134" s="11" t="s">
        <v>18</v>
      </c>
    </row>
    <row r="135" customFormat="false" ht="15" hidden="false" customHeight="false" outlineLevel="0" collapsed="false">
      <c r="A135" s="11" t="n">
        <f aca="false">MONTH(B135)</f>
        <v>5</v>
      </c>
      <c r="B135" s="12" t="n">
        <v>45804.6855555556</v>
      </c>
      <c r="C135" s="7" t="s">
        <v>6</v>
      </c>
      <c r="D135" s="7" t="s">
        <v>6</v>
      </c>
      <c r="E135" s="13" t="n">
        <v>0.0399999999935972</v>
      </c>
      <c r="F135" s="7" t="str">
        <f aca="false">CONCATENATE(C135,"&gt;",D135)</f>
        <v>KKC273&gt;KKC273</v>
      </c>
      <c r="G135" s="7" t="n">
        <f aca="false">VLOOKUP(F135,De_Para!$B$2:$C$1500,2,0)</f>
        <v>0</v>
      </c>
      <c r="AB135" s="7" t="s">
        <v>18</v>
      </c>
      <c r="AC135" s="11" t="s">
        <v>21</v>
      </c>
    </row>
    <row r="136" customFormat="false" ht="15" hidden="false" customHeight="false" outlineLevel="0" collapsed="false">
      <c r="A136" s="11" t="n">
        <f aca="false">MONTH(B136)</f>
        <v>5</v>
      </c>
      <c r="B136" s="12" t="n">
        <v>45804.7197453704</v>
      </c>
      <c r="C136" s="7" t="s">
        <v>19</v>
      </c>
      <c r="D136" s="7" t="s">
        <v>6</v>
      </c>
      <c r="E136" s="13" t="n">
        <v>0.0341898148180917</v>
      </c>
      <c r="F136" s="7" t="str">
        <f aca="false">CONCATENATE(C136,"&gt;",D136)</f>
        <v>CKF276&gt;KKC273</v>
      </c>
      <c r="G136" s="7" t="n">
        <f aca="false">VLOOKUP(F136,De_Para!$B$2:$C$1500,2,0)</f>
        <v>80</v>
      </c>
      <c r="AB136" s="7" t="s">
        <v>21</v>
      </c>
      <c r="AC136" s="11" t="s">
        <v>18</v>
      </c>
    </row>
    <row r="137" customFormat="false" ht="15" hidden="false" customHeight="false" outlineLevel="0" collapsed="false">
      <c r="A137" s="11" t="n">
        <f aca="false">MONTH(B137)</f>
        <v>5</v>
      </c>
      <c r="B137" s="12" t="n">
        <v>45804.8286574074</v>
      </c>
      <c r="C137" s="7" t="s">
        <v>6</v>
      </c>
      <c r="D137" s="7" t="s">
        <v>19</v>
      </c>
      <c r="E137" s="13" t="n">
        <v>0.0399884259240935</v>
      </c>
      <c r="F137" s="7" t="str">
        <f aca="false">CONCATENATE(C137,"&gt;",D137)</f>
        <v>KKC273&gt;CKF276</v>
      </c>
      <c r="G137" s="7" t="n">
        <f aca="false">VLOOKUP(F137,De_Para!$B$2:$C$1500,2,0)</f>
        <v>80</v>
      </c>
      <c r="AB137" s="7" t="s">
        <v>18</v>
      </c>
      <c r="AC137" s="11" t="s">
        <v>20</v>
      </c>
    </row>
    <row r="138" customFormat="false" ht="15" hidden="false" customHeight="false" outlineLevel="0" collapsed="false">
      <c r="A138" s="11" t="n">
        <f aca="false">MONTH(B138)</f>
        <v>5</v>
      </c>
      <c r="B138" s="12" t="n">
        <v>45805.2325347222</v>
      </c>
      <c r="C138" s="7" t="s">
        <v>19</v>
      </c>
      <c r="D138" s="7" t="s">
        <v>29</v>
      </c>
      <c r="E138" s="13" t="n">
        <v>0.0487847222248092</v>
      </c>
      <c r="F138" s="7" t="str">
        <f aca="false">CONCATENATE(C138,"&gt;",D138)</f>
        <v>CKF276&gt;K28170</v>
      </c>
      <c r="G138" s="7" t="n">
        <f aca="false">VLOOKUP(F138,De_Para!$B$2:$C$1500,2,0)</f>
        <v>70</v>
      </c>
      <c r="AB138" s="7" t="s">
        <v>20</v>
      </c>
      <c r="AC138" s="11" t="s">
        <v>21</v>
      </c>
    </row>
    <row r="139" customFormat="false" ht="15" hidden="false" customHeight="false" outlineLevel="0" collapsed="false">
      <c r="A139" s="11" t="n">
        <f aca="false">MONTH(B139)</f>
        <v>5</v>
      </c>
      <c r="B139" s="12" t="n">
        <v>45806.0023726852</v>
      </c>
      <c r="C139" s="7" t="s">
        <v>29</v>
      </c>
      <c r="D139" s="7" t="s">
        <v>28</v>
      </c>
      <c r="E139" s="13" t="n">
        <v>0.0456134259293322</v>
      </c>
      <c r="F139" s="7" t="str">
        <f aca="false">CONCATENATE(C139,"&gt;",D139)</f>
        <v>K28170&gt;K28150</v>
      </c>
      <c r="G139" s="7" t="n">
        <f aca="false">VLOOKUP(F139,De_Para!$B$2:$C$1500,2,0)</f>
        <v>20</v>
      </c>
      <c r="AB139" s="7" t="s">
        <v>21</v>
      </c>
      <c r="AC139" s="11" t="s">
        <v>28</v>
      </c>
    </row>
    <row r="140" customFormat="false" ht="15" hidden="false" customHeight="false" outlineLevel="0" collapsed="false">
      <c r="A140" s="11" t="n">
        <f aca="false">MONTH(B140)</f>
        <v>5</v>
      </c>
      <c r="B140" s="12" t="n">
        <v>45806.804375</v>
      </c>
      <c r="C140" s="7" t="s">
        <v>29</v>
      </c>
      <c r="D140" s="7" t="s">
        <v>28</v>
      </c>
      <c r="E140" s="13" t="n">
        <v>0.0550231481465744</v>
      </c>
      <c r="F140" s="7" t="str">
        <f aca="false">CONCATENATE(C140,"&gt;",D140)</f>
        <v>K28170&gt;K28150</v>
      </c>
      <c r="G140" s="7" t="n">
        <f aca="false">VLOOKUP(F140,De_Para!$B$2:$C$1500,2,0)</f>
        <v>20</v>
      </c>
      <c r="AB140" s="7" t="s">
        <v>28</v>
      </c>
      <c r="AC140" s="11" t="s">
        <v>30</v>
      </c>
    </row>
    <row r="141" customFormat="false" ht="15" hidden="false" customHeight="false" outlineLevel="0" collapsed="false">
      <c r="A141" s="11" t="n">
        <f aca="false">MONTH(B141)</f>
        <v>5</v>
      </c>
      <c r="B141" s="12" t="n">
        <v>45808.3448611111</v>
      </c>
      <c r="C141" s="7" t="s">
        <v>28</v>
      </c>
      <c r="D141" s="7" t="s">
        <v>1079</v>
      </c>
      <c r="E141" s="13" t="n">
        <v>0.0524884259211831</v>
      </c>
      <c r="F141" s="7" t="str">
        <f aca="false">CONCATENATE(C141,"&gt;",D141)</f>
        <v>K28150&gt;LLE150</v>
      </c>
      <c r="G141" s="7" t="n">
        <f aca="false">VLOOKUP(F141,De_Para!$B$2:$C$1500,2,0)</f>
        <v>0</v>
      </c>
      <c r="AB141" s="7" t="s">
        <v>30</v>
      </c>
      <c r="AC141" s="11" t="s">
        <v>11</v>
      </c>
    </row>
    <row r="142" customFormat="false" ht="15" hidden="false" customHeight="false" outlineLevel="0" collapsed="false">
      <c r="A142" s="11" t="n">
        <f aca="false">MONTH(B142)</f>
        <v>5</v>
      </c>
      <c r="B142" s="12" t="n">
        <v>45808.5987384259</v>
      </c>
      <c r="C142" s="7" t="s">
        <v>1079</v>
      </c>
      <c r="D142" s="7" t="s">
        <v>1080</v>
      </c>
      <c r="E142" s="13" t="n">
        <v>0.046527777776646</v>
      </c>
      <c r="F142" s="7" t="str">
        <f aca="false">CONCATENATE(C142,"&gt;",D142)</f>
        <v>LLE150&gt;LLE170</v>
      </c>
      <c r="G142" s="7" t="n">
        <f aca="false">VLOOKUP(F142,De_Para!$B$2:$C$1500,2,0)</f>
        <v>60</v>
      </c>
      <c r="AB142" s="7" t="s">
        <v>11</v>
      </c>
      <c r="AC142" s="11" t="s">
        <v>30</v>
      </c>
    </row>
    <row r="143" customFormat="false" ht="15" hidden="false" customHeight="false" outlineLevel="0" collapsed="false">
      <c r="A143" s="11" t="n">
        <f aca="false">MONTH(B143)</f>
        <v>6</v>
      </c>
      <c r="B143" s="12" t="n">
        <v>45809.6927546296</v>
      </c>
      <c r="C143" s="7" t="s">
        <v>1080</v>
      </c>
      <c r="D143" s="7" t="s">
        <v>1079</v>
      </c>
      <c r="E143" s="13" t="n">
        <v>0.0118518518502242</v>
      </c>
      <c r="F143" s="7" t="str">
        <f aca="false">CONCATENATE(C143,"&gt;",D143)</f>
        <v>LLE170&gt;LLE150</v>
      </c>
      <c r="G143" s="7" t="n">
        <f aca="false">VLOOKUP(F143,De_Para!$B$2:$C$1500,2,0)</f>
        <v>60</v>
      </c>
      <c r="AB143" s="7" t="s">
        <v>30</v>
      </c>
      <c r="AC143" s="11" t="s">
        <v>29</v>
      </c>
    </row>
    <row r="144" customFormat="false" ht="15" hidden="false" customHeight="false" outlineLevel="0" collapsed="false">
      <c r="A144" s="11" t="n">
        <f aca="false">MONTH(B144)</f>
        <v>6</v>
      </c>
      <c r="B144" s="12" t="n">
        <v>45810.3227893519</v>
      </c>
      <c r="C144" s="7" t="s">
        <v>1079</v>
      </c>
      <c r="D144" s="7" t="s">
        <v>18</v>
      </c>
      <c r="E144" s="13" t="n">
        <v>0.00601851851388346</v>
      </c>
      <c r="F144" s="7" t="str">
        <f aca="false">CONCATENATE(C144,"&gt;",D144)</f>
        <v>LLE150&gt;CKF250</v>
      </c>
      <c r="G144" s="7" t="n">
        <f aca="false">VLOOKUP(F144,De_Para!$B$2:$C$1500,2,0)</f>
        <v>120</v>
      </c>
      <c r="AB144" s="7" t="s">
        <v>29</v>
      </c>
      <c r="AC144" s="11" t="s">
        <v>28</v>
      </c>
    </row>
    <row r="145" customFormat="false" ht="15" hidden="false" customHeight="false" outlineLevel="0" collapsed="false">
      <c r="A145" s="11" t="n">
        <f aca="false">MONTH(B145)</f>
        <v>6</v>
      </c>
      <c r="B145" s="12" t="n">
        <v>45810.7039699074</v>
      </c>
      <c r="C145" s="7" t="s">
        <v>18</v>
      </c>
      <c r="D145" s="7" t="s">
        <v>20</v>
      </c>
      <c r="E145" s="13" t="n">
        <v>0.148368055553874</v>
      </c>
      <c r="F145" s="7" t="str">
        <f aca="false">CONCATENATE(C145,"&gt;",D145)</f>
        <v>CKF250&gt;CKF285</v>
      </c>
      <c r="G145" s="7" t="n">
        <f aca="false">VLOOKUP(F145,De_Para!$B$2:$C$1500,2,0)</f>
        <v>15</v>
      </c>
      <c r="AB145" s="7" t="s">
        <v>28</v>
      </c>
      <c r="AC145" s="11" t="s">
        <v>25</v>
      </c>
    </row>
    <row r="146" customFormat="false" ht="15" hidden="false" customHeight="false" outlineLevel="0" collapsed="false">
      <c r="A146" s="11" t="n">
        <f aca="false">MONTH(B146)</f>
        <v>6</v>
      </c>
      <c r="B146" s="12" t="n">
        <v>45811.4723726852</v>
      </c>
      <c r="C146" s="7" t="s">
        <v>20</v>
      </c>
      <c r="D146" s="7" t="s">
        <v>18</v>
      </c>
      <c r="E146" s="13" t="n">
        <v>0.112337962964375</v>
      </c>
      <c r="F146" s="7" t="str">
        <f aca="false">CONCATENATE(C146,"&gt;",D146)</f>
        <v>CKF285&gt;CKF250</v>
      </c>
      <c r="G146" s="7" t="n">
        <f aca="false">VLOOKUP(F146,De_Para!$B$2:$C$1500,2,0)</f>
        <v>15</v>
      </c>
      <c r="AB146" s="7" t="s">
        <v>25</v>
      </c>
      <c r="AC146" s="11" t="s">
        <v>29</v>
      </c>
    </row>
    <row r="147" customFormat="false" ht="15" hidden="false" customHeight="false" outlineLevel="0" collapsed="false">
      <c r="A147" s="11" t="n">
        <f aca="false">MONTH(B147)</f>
        <v>6</v>
      </c>
      <c r="B147" s="12" t="n">
        <v>45811.7083101852</v>
      </c>
      <c r="C147" s="7" t="s">
        <v>18</v>
      </c>
      <c r="D147" s="7" t="s">
        <v>21</v>
      </c>
      <c r="E147" s="13" t="n">
        <v>0.188310185185401</v>
      </c>
      <c r="F147" s="7" t="str">
        <f aca="false">CONCATENATE(C147,"&gt;",D147)</f>
        <v>CKF250&gt;CKF312</v>
      </c>
      <c r="G147" s="7" t="n">
        <f aca="false">VLOOKUP(F147,De_Para!$B$2:$C$1500,2,0)</f>
        <v>20</v>
      </c>
      <c r="AB147" s="7" t="s">
        <v>29</v>
      </c>
      <c r="AC147" s="11" t="s">
        <v>1086</v>
      </c>
    </row>
    <row r="148" customFormat="false" ht="15" hidden="false" customHeight="false" outlineLevel="0" collapsed="false">
      <c r="A148" s="11" t="n">
        <f aca="false">MONTH(B148)</f>
        <v>6</v>
      </c>
      <c r="B148" s="12" t="n">
        <v>45813.2951967593</v>
      </c>
      <c r="C148" s="7" t="s">
        <v>21</v>
      </c>
      <c r="D148" s="7" t="s">
        <v>18</v>
      </c>
      <c r="E148" s="13" t="n">
        <v>0.0356481481503579</v>
      </c>
      <c r="F148" s="7" t="str">
        <f aca="false">CONCATENATE(C148,"&gt;",D148)</f>
        <v>CKF312&gt;CKF250</v>
      </c>
      <c r="G148" s="7" t="n">
        <f aca="false">VLOOKUP(F148,De_Para!$B$2:$C$1500,2,0)</f>
        <v>20</v>
      </c>
      <c r="AB148" s="7" t="s">
        <v>1086</v>
      </c>
      <c r="AC148" s="11" t="s">
        <v>6</v>
      </c>
    </row>
    <row r="149" customFormat="false" ht="15" hidden="false" customHeight="false" outlineLevel="0" collapsed="false">
      <c r="A149" s="11" t="n">
        <f aca="false">MONTH(B149)</f>
        <v>6</v>
      </c>
      <c r="B149" s="12" t="n">
        <v>45814.2800810185</v>
      </c>
      <c r="C149" s="7" t="s">
        <v>18</v>
      </c>
      <c r="D149" s="7" t="s">
        <v>20</v>
      </c>
      <c r="E149" s="13" t="n">
        <v>0.0325810185240698</v>
      </c>
      <c r="F149" s="7" t="str">
        <f aca="false">CONCATENATE(C149,"&gt;",D149)</f>
        <v>CKF250&gt;CKF285</v>
      </c>
      <c r="G149" s="7" t="n">
        <f aca="false">VLOOKUP(F149,De_Para!$B$2:$C$1500,2,0)</f>
        <v>15</v>
      </c>
      <c r="AB149" s="7" t="s">
        <v>6</v>
      </c>
      <c r="AC149" s="11" t="s">
        <v>32</v>
      </c>
    </row>
    <row r="150" customFormat="false" ht="15" hidden="false" customHeight="false" outlineLevel="0" collapsed="false">
      <c r="A150" s="11" t="n">
        <f aca="false">MONTH(B150)</f>
        <v>6</v>
      </c>
      <c r="B150" s="12" t="n">
        <v>45815.6658796296</v>
      </c>
      <c r="C150" s="7" t="s">
        <v>20</v>
      </c>
      <c r="D150" s="7" t="s">
        <v>21</v>
      </c>
      <c r="E150" s="13" t="n">
        <v>0.0335648148175096</v>
      </c>
      <c r="F150" s="7" t="str">
        <f aca="false">CONCATENATE(C150,"&gt;",D150)</f>
        <v>CKF285&gt;CKF312</v>
      </c>
      <c r="G150" s="7" t="n">
        <f aca="false">VLOOKUP(F150,De_Para!$B$2:$C$1500,2,0)</f>
        <v>20</v>
      </c>
      <c r="AB150" s="7" t="s">
        <v>32</v>
      </c>
      <c r="AC150" s="11" t="s">
        <v>1085</v>
      </c>
    </row>
    <row r="151" customFormat="false" ht="15" hidden="false" customHeight="false" outlineLevel="0" collapsed="false">
      <c r="A151" s="11" t="n">
        <f aca="false">MONTH(B151)</f>
        <v>6</v>
      </c>
      <c r="B151" s="12" t="n">
        <v>45815.9150694445</v>
      </c>
      <c r="C151" s="7" t="s">
        <v>21</v>
      </c>
      <c r="D151" s="7" t="s">
        <v>28</v>
      </c>
      <c r="E151" s="13" t="n">
        <v>0.0177083333328483</v>
      </c>
      <c r="F151" s="7" t="str">
        <f aca="false">CONCATENATE(C151,"&gt;",D151)</f>
        <v>CKF312&gt;K28150</v>
      </c>
      <c r="G151" s="7" t="n">
        <f aca="false">VLOOKUP(F151,De_Para!$B$2:$C$1500,2,0)</f>
        <v>80</v>
      </c>
      <c r="AB151" s="7" t="s">
        <v>1085</v>
      </c>
      <c r="AC151" s="11" t="s">
        <v>34</v>
      </c>
    </row>
    <row r="152" customFormat="false" ht="15" hidden="false" customHeight="false" outlineLevel="0" collapsed="false">
      <c r="A152" s="11" t="n">
        <f aca="false">MONTH(B152)</f>
        <v>6</v>
      </c>
      <c r="B152" s="12" t="n">
        <v>45818.6825115741</v>
      </c>
      <c r="C152" s="7" t="s">
        <v>28</v>
      </c>
      <c r="D152" s="7" t="s">
        <v>30</v>
      </c>
      <c r="E152" s="13" t="n">
        <v>0.0127430555512547</v>
      </c>
      <c r="F152" s="7" t="str">
        <f aca="false">CONCATENATE(C152,"&gt;",D152)</f>
        <v>K28150&gt;K28200</v>
      </c>
      <c r="G152" s="7" t="n">
        <f aca="false">VLOOKUP(F152,De_Para!$B$2:$C$1500,2,0)</f>
        <v>30</v>
      </c>
      <c r="AB152" s="7" t="s">
        <v>34</v>
      </c>
      <c r="AC152" s="11" t="s">
        <v>29</v>
      </c>
    </row>
    <row r="153" customFormat="false" ht="15" hidden="false" customHeight="false" outlineLevel="0" collapsed="false">
      <c r="A153" s="11" t="n">
        <f aca="false">MONTH(B153)</f>
        <v>6</v>
      </c>
      <c r="B153" s="12" t="n">
        <v>45821.5205324074</v>
      </c>
      <c r="C153" s="7" t="s">
        <v>30</v>
      </c>
      <c r="D153" s="7" t="s">
        <v>11</v>
      </c>
      <c r="E153" s="13" t="n">
        <v>0.127592592587462</v>
      </c>
      <c r="F153" s="7" t="str">
        <f aca="false">CONCATENATE(C153,"&gt;",D153)</f>
        <v>K28200&gt;CHD318</v>
      </c>
      <c r="G153" s="7" t="n">
        <f aca="false">VLOOKUP(F153,De_Para!$B$2:$C$1500,2,0)</f>
        <v>100</v>
      </c>
      <c r="AB153" s="7" t="s">
        <v>29</v>
      </c>
      <c r="AC153" s="11" t="s">
        <v>34</v>
      </c>
    </row>
    <row r="154" customFormat="false" ht="15" hidden="false" customHeight="false" outlineLevel="0" collapsed="false">
      <c r="A154" s="11" t="n">
        <f aca="false">MONTH(B154)</f>
        <v>6</v>
      </c>
      <c r="B154" s="12" t="n">
        <v>45826.1938541667</v>
      </c>
      <c r="C154" s="7" t="s">
        <v>11</v>
      </c>
      <c r="D154" s="7" t="s">
        <v>30</v>
      </c>
      <c r="E154" s="13" t="n">
        <v>0.0359375000043656</v>
      </c>
      <c r="F154" s="7" t="str">
        <f aca="false">CONCATENATE(C154,"&gt;",D154)</f>
        <v>CHD318&gt;K28200</v>
      </c>
      <c r="G154" s="7" t="n">
        <f aca="false">VLOOKUP(F154,De_Para!$B$2:$C$1500,2,0)</f>
        <v>100</v>
      </c>
      <c r="AB154" s="7" t="s">
        <v>1085</v>
      </c>
      <c r="AC154" s="11" t="s">
        <v>29</v>
      </c>
    </row>
    <row r="155" customFormat="false" ht="15" hidden="false" customHeight="false" outlineLevel="0" collapsed="false">
      <c r="A155" s="11" t="n">
        <f aca="false">MONTH(B155)</f>
        <v>6</v>
      </c>
      <c r="B155" s="12" t="n">
        <v>45827.0580092593</v>
      </c>
      <c r="C155" s="7" t="s">
        <v>30</v>
      </c>
      <c r="D155" s="7" t="s">
        <v>1084</v>
      </c>
      <c r="E155" s="13" t="n">
        <v>0.0437499999970896</v>
      </c>
      <c r="F155" s="7" t="str">
        <f aca="false">CONCATENATE(C155,"&gt;",D155)</f>
        <v>K28200&gt;LLE200</v>
      </c>
      <c r="G155" s="7" t="n">
        <f aca="false">VLOOKUP(F155,De_Para!$B$2:$C$1500,2,0)</f>
        <v>0</v>
      </c>
      <c r="AB155" s="7" t="s">
        <v>29</v>
      </c>
      <c r="AC155" s="11" t="s">
        <v>28</v>
      </c>
    </row>
    <row r="156" customFormat="false" ht="15" hidden="false" customHeight="false" outlineLevel="0" collapsed="false">
      <c r="A156" s="11" t="n">
        <f aca="false">MONTH(B156)</f>
        <v>6</v>
      </c>
      <c r="B156" s="12" t="n">
        <v>45827.3620601852</v>
      </c>
      <c r="C156" s="7" t="s">
        <v>1084</v>
      </c>
      <c r="D156" s="7" t="s">
        <v>30</v>
      </c>
      <c r="E156" s="13" t="n">
        <v>0.0433449074116652</v>
      </c>
      <c r="F156" s="7" t="str">
        <f aca="false">CONCATENATE(C156,"&gt;",D156)</f>
        <v>LLE200&gt;K28200</v>
      </c>
      <c r="G156" s="7" t="n">
        <f aca="false">VLOOKUP(F156,De_Para!$B$2:$C$1500,2,0)</f>
        <v>0</v>
      </c>
      <c r="AB156" s="7" t="s">
        <v>28</v>
      </c>
      <c r="AC156" s="11" t="s">
        <v>11</v>
      </c>
    </row>
    <row r="157" customFormat="false" ht="15" hidden="false" customHeight="false" outlineLevel="0" collapsed="false">
      <c r="A157" s="11" t="n">
        <f aca="false">MONTH(B157)</f>
        <v>6</v>
      </c>
      <c r="B157" s="12" t="n">
        <v>45827.7707407407</v>
      </c>
      <c r="C157" s="7" t="s">
        <v>30</v>
      </c>
      <c r="D157" s="7" t="s">
        <v>29</v>
      </c>
      <c r="E157" s="13" t="n">
        <v>0.0125115740738693</v>
      </c>
      <c r="F157" s="7" t="str">
        <f aca="false">CONCATENATE(C157,"&gt;",D157)</f>
        <v>K28200&gt;K28170</v>
      </c>
      <c r="G157" s="7" t="n">
        <f aca="false">VLOOKUP(F157,De_Para!$B$2:$C$1500,2,0)</f>
        <v>15</v>
      </c>
      <c r="AB157" s="7" t="s">
        <v>11</v>
      </c>
      <c r="AC157" s="11" t="s">
        <v>17</v>
      </c>
    </row>
    <row r="158" customFormat="false" ht="15" hidden="false" customHeight="false" outlineLevel="0" collapsed="false">
      <c r="A158" s="11" t="n">
        <f aca="false">MONTH(B158)</f>
        <v>6</v>
      </c>
      <c r="B158" s="12" t="n">
        <v>45831.8130324074</v>
      </c>
      <c r="C158" s="7" t="s">
        <v>29</v>
      </c>
      <c r="D158" s="7" t="s">
        <v>28</v>
      </c>
      <c r="E158" s="13" t="n">
        <v>0.175636574072996</v>
      </c>
      <c r="F158" s="7" t="str">
        <f aca="false">CONCATENATE(C158,"&gt;",D158)</f>
        <v>K28170&gt;K28150</v>
      </c>
      <c r="G158" s="7" t="n">
        <f aca="false">VLOOKUP(F158,De_Para!$B$2:$C$1500,2,0)</f>
        <v>20</v>
      </c>
      <c r="AB158" s="7" t="s">
        <v>17</v>
      </c>
      <c r="AC158" s="11" t="s">
        <v>28</v>
      </c>
    </row>
    <row r="159" customFormat="false" ht="15" hidden="false" customHeight="false" outlineLevel="0" collapsed="false">
      <c r="A159" s="11" t="n">
        <f aca="false">MONTH(B159)</f>
        <v>6</v>
      </c>
      <c r="B159" s="12" t="n">
        <v>45835.9390740741</v>
      </c>
      <c r="C159" s="7" t="s">
        <v>1079</v>
      </c>
      <c r="D159" s="7" t="s">
        <v>25</v>
      </c>
      <c r="E159" s="13" t="n">
        <v>0.0512152777737356</v>
      </c>
      <c r="F159" s="7" t="str">
        <f aca="false">CONCATENATE(C159,"&gt;",D159)</f>
        <v>LLE150&gt;EWP190</v>
      </c>
      <c r="G159" s="7" t="n">
        <f aca="false">VLOOKUP(F159,De_Para!$B$2:$C$1500,2,0)</f>
        <v>100</v>
      </c>
      <c r="AB159" s="7" t="s">
        <v>28</v>
      </c>
      <c r="AC159" s="11" t="s">
        <v>30</v>
      </c>
    </row>
    <row r="160" customFormat="false" ht="15" hidden="false" customHeight="false" outlineLevel="0" collapsed="false">
      <c r="A160" s="11" t="n">
        <f aca="false">MONTH(B160)</f>
        <v>6</v>
      </c>
      <c r="B160" s="12" t="n">
        <v>45837.6392824074</v>
      </c>
      <c r="C160" s="7" t="s">
        <v>25</v>
      </c>
      <c r="D160" s="7" t="s">
        <v>29</v>
      </c>
      <c r="E160" s="13" t="n">
        <v>0.0481481481474475</v>
      </c>
      <c r="F160" s="7" t="str">
        <f aca="false">CONCATENATE(C160,"&gt;",D160)</f>
        <v>EWP190&gt;K28170</v>
      </c>
      <c r="G160" s="7" t="n">
        <f aca="false">VLOOKUP(F160,De_Para!$B$2:$C$1500,2,0)</f>
        <v>65</v>
      </c>
      <c r="AB160" s="7" t="s">
        <v>30</v>
      </c>
      <c r="AC160" s="11" t="s">
        <v>1118</v>
      </c>
    </row>
    <row r="161" customFormat="false" ht="15" hidden="false" customHeight="false" outlineLevel="0" collapsed="false">
      <c r="A161" s="11" t="n">
        <f aca="false">MONTH(B161)</f>
        <v>7</v>
      </c>
      <c r="B161" s="12" t="n">
        <v>45839.5728819444</v>
      </c>
      <c r="C161" s="7" t="s">
        <v>29</v>
      </c>
      <c r="D161" s="7" t="s">
        <v>1086</v>
      </c>
      <c r="E161" s="13" t="n">
        <v>0.0466435185153387</v>
      </c>
      <c r="F161" s="7" t="str">
        <f aca="false">CONCATENATE(C161,"&gt;",D161)</f>
        <v>K28170&gt;KKL195</v>
      </c>
      <c r="G161" s="7" t="n">
        <f aca="false">VLOOKUP(F161,De_Para!$B$2:$C$1500,2,0)</f>
        <v>100</v>
      </c>
      <c r="AB161" s="7" t="s">
        <v>1118</v>
      </c>
      <c r="AC161" s="11" t="s">
        <v>1119</v>
      </c>
    </row>
    <row r="162" customFormat="false" ht="15" hidden="false" customHeight="false" outlineLevel="0" collapsed="false">
      <c r="A162" s="11" t="n">
        <f aca="false">MONTH(B162)</f>
        <v>7</v>
      </c>
      <c r="B162" s="12" t="n">
        <v>45841.0339583333</v>
      </c>
      <c r="C162" s="7" t="s">
        <v>1086</v>
      </c>
      <c r="D162" s="7" t="s">
        <v>6</v>
      </c>
      <c r="E162" s="13" t="n">
        <v>0.0429398148116889</v>
      </c>
      <c r="F162" s="7" t="str">
        <f aca="false">CONCATENATE(C162,"&gt;",D162)</f>
        <v>KKL195&gt;KKC273</v>
      </c>
      <c r="G162" s="7" t="n">
        <f aca="false">VLOOKUP(F162,De_Para!$B$2:$C$1500,2,0)</f>
        <v>50</v>
      </c>
      <c r="AB162" s="7" t="s">
        <v>1119</v>
      </c>
      <c r="AC162" s="11" t="s">
        <v>29</v>
      </c>
    </row>
    <row r="163" customFormat="false" ht="15" hidden="false" customHeight="false" outlineLevel="0" collapsed="false">
      <c r="A163" s="11" t="n">
        <f aca="false">MONTH(B163)</f>
        <v>7</v>
      </c>
      <c r="B163" s="12" t="n">
        <v>45842.3773958333</v>
      </c>
      <c r="C163" s="7" t="s">
        <v>6</v>
      </c>
      <c r="D163" s="7" t="s">
        <v>32</v>
      </c>
      <c r="E163" s="13" t="n">
        <v>0.0529398148137261</v>
      </c>
      <c r="F163" s="7" t="str">
        <f aca="false">CONCATENATE(C163,"&gt;",D163)</f>
        <v>KKC273&gt;EWC175</v>
      </c>
      <c r="G163" s="7" t="n">
        <f aca="false">VLOOKUP(F163,De_Para!$B$2:$C$1500,2,0)</f>
        <v>60</v>
      </c>
      <c r="AB163" s="7" t="s">
        <v>29</v>
      </c>
      <c r="AC163" s="11" t="s">
        <v>28</v>
      </c>
    </row>
    <row r="164" customFormat="false" ht="15" hidden="false" customHeight="false" outlineLevel="0" collapsed="false">
      <c r="A164" s="11" t="n">
        <f aca="false">MONTH(B164)</f>
        <v>7</v>
      </c>
      <c r="B164" s="12" t="n">
        <v>45843.1137384259</v>
      </c>
      <c r="C164" s="7" t="s">
        <v>32</v>
      </c>
      <c r="D164" s="7" t="s">
        <v>1085</v>
      </c>
      <c r="E164" s="13" t="n">
        <v>0.0549768518540077</v>
      </c>
      <c r="F164" s="7" t="str">
        <f aca="false">CONCATENATE(C164,"&gt;",D164)</f>
        <v>EWC175&gt;EKW200</v>
      </c>
      <c r="G164" s="7" t="n">
        <f aca="false">VLOOKUP(F164,De_Para!$B$2:$C$1500,2,0)</f>
        <v>80</v>
      </c>
      <c r="AB164" s="7" t="s">
        <v>28</v>
      </c>
      <c r="AC164" s="11" t="s">
        <v>33</v>
      </c>
    </row>
    <row r="165" customFormat="false" ht="15" hidden="false" customHeight="false" outlineLevel="0" collapsed="false">
      <c r="A165" s="11" t="n">
        <f aca="false">MONTH(B165)</f>
        <v>7</v>
      </c>
      <c r="B165" s="12" t="n">
        <v>45844.222974537</v>
      </c>
      <c r="C165" s="7" t="s">
        <v>1085</v>
      </c>
      <c r="D165" s="7" t="s">
        <v>34</v>
      </c>
      <c r="E165" s="13" t="n">
        <v>0.0317129629620467</v>
      </c>
      <c r="F165" s="7" t="str">
        <f aca="false">CONCATENATE(C165,"&gt;",D165)</f>
        <v>EKW200&gt;EKW175</v>
      </c>
      <c r="G165" s="7" t="n">
        <f aca="false">VLOOKUP(F165,De_Para!$B$2:$C$1500,2,0)</f>
        <v>50</v>
      </c>
      <c r="AB165" s="7" t="s">
        <v>25</v>
      </c>
      <c r="AC165" s="11" t="s">
        <v>33</v>
      </c>
    </row>
    <row r="166" customFormat="false" ht="15" hidden="false" customHeight="false" outlineLevel="0" collapsed="false">
      <c r="A166" s="11" t="n">
        <f aca="false">MONTH(B166)</f>
        <v>7</v>
      </c>
      <c r="B166" s="12" t="n">
        <v>45846.0355092593</v>
      </c>
      <c r="C166" s="7" t="s">
        <v>34</v>
      </c>
      <c r="D166" s="7" t="s">
        <v>29</v>
      </c>
      <c r="E166" s="13" t="n">
        <v>0.0552083333313931</v>
      </c>
      <c r="F166" s="7" t="str">
        <f aca="false">CONCATENATE(C166,"&gt;",D166)</f>
        <v>EKW175&gt;K28170</v>
      </c>
      <c r="G166" s="7" t="n">
        <f aca="false">VLOOKUP(F166,De_Para!$B$2:$C$1500,2,0)</f>
        <v>80</v>
      </c>
      <c r="AB166" s="7" t="s">
        <v>33</v>
      </c>
      <c r="AC166" s="11" t="s">
        <v>25</v>
      </c>
    </row>
    <row r="167" customFormat="false" ht="15" hidden="false" customHeight="false" outlineLevel="0" collapsed="false">
      <c r="A167" s="11" t="n">
        <f aca="false">MONTH(B167)</f>
        <v>7</v>
      </c>
      <c r="B167" s="12" t="n">
        <v>45847.9611689815</v>
      </c>
      <c r="C167" s="7" t="s">
        <v>29</v>
      </c>
      <c r="D167" s="7" t="s">
        <v>34</v>
      </c>
      <c r="E167" s="13" t="n">
        <v>0.717928240745096</v>
      </c>
      <c r="F167" s="7" t="str">
        <f aca="false">CONCATENATE(C167,"&gt;",D167)</f>
        <v>K28170&gt;EKW175</v>
      </c>
      <c r="G167" s="7" t="n">
        <f aca="false">VLOOKUP(F167,De_Para!$B$2:$C$1500,2,0)</f>
        <v>40</v>
      </c>
      <c r="AB167" s="7" t="s">
        <v>25</v>
      </c>
      <c r="AC167" s="11" t="s">
        <v>33</v>
      </c>
    </row>
    <row r="168" customFormat="false" ht="15" hidden="false" customHeight="false" outlineLevel="0" collapsed="false">
      <c r="A168" s="11" t="n">
        <f aca="false">MONTH(B168)</f>
        <v>7</v>
      </c>
      <c r="B168" s="12" t="n">
        <v>45850.4509606482</v>
      </c>
      <c r="C168" s="7" t="s">
        <v>34</v>
      </c>
      <c r="D168" s="7" t="s">
        <v>1122</v>
      </c>
      <c r="E168" s="13" t="n">
        <v>0.0455555555599858</v>
      </c>
      <c r="F168" s="7" t="str">
        <f aca="false">CONCATENATE(C168,"&gt;",D168)</f>
        <v>EKW175&gt;LWE200</v>
      </c>
      <c r="G168" s="7" t="n">
        <f aca="false">VLOOKUP(F168,De_Para!$B$2:$C$1500,2,0)</f>
        <v>40</v>
      </c>
      <c r="AB168" s="7" t="s">
        <v>25</v>
      </c>
      <c r="AC168" s="11" t="s">
        <v>1086</v>
      </c>
    </row>
    <row r="169" customFormat="false" ht="15" hidden="false" customHeight="false" outlineLevel="0" collapsed="false">
      <c r="A169" s="11" t="n">
        <f aca="false">MONTH(B169)</f>
        <v>7</v>
      </c>
      <c r="B169" s="12" t="n">
        <v>45850.5568518519</v>
      </c>
      <c r="C169" s="7" t="s">
        <v>1122</v>
      </c>
      <c r="D169" s="7" t="s">
        <v>1085</v>
      </c>
      <c r="E169" s="13" t="n">
        <v>0.0454282407372375</v>
      </c>
      <c r="F169" s="7" t="str">
        <f aca="false">CONCATENATE(C169,"&gt;",D169)</f>
        <v>LWE200&gt;EKW200</v>
      </c>
      <c r="G169" s="7" t="n">
        <f aca="false">VLOOKUP(F169,De_Para!$B$2:$C$1500,2,0)</f>
        <v>0</v>
      </c>
      <c r="AB169" s="7" t="s">
        <v>1086</v>
      </c>
      <c r="AC169" s="11" t="s">
        <v>29</v>
      </c>
    </row>
    <row r="170" customFormat="false" ht="15" hidden="false" customHeight="false" outlineLevel="0" collapsed="false">
      <c r="A170" s="11" t="n">
        <f aca="false">MONTH(B170)</f>
        <v>7</v>
      </c>
      <c r="B170" s="12" t="n">
        <v>45850.7188310185</v>
      </c>
      <c r="C170" s="7" t="s">
        <v>1085</v>
      </c>
      <c r="D170" s="7" t="s">
        <v>29</v>
      </c>
      <c r="E170" s="13" t="n">
        <v>0.0484953703708015</v>
      </c>
      <c r="F170" s="7" t="str">
        <f aca="false">CONCATENATE(C170,"&gt;",D170)</f>
        <v>EKW200&gt;K28170</v>
      </c>
      <c r="G170" s="7" t="n">
        <f aca="false">VLOOKUP(F170,De_Para!$B$2:$C$1500,2,0)</f>
        <v>80</v>
      </c>
      <c r="AB170" s="7" t="s">
        <v>29</v>
      </c>
      <c r="AC170" s="11" t="s">
        <v>28</v>
      </c>
    </row>
    <row r="171" customFormat="false" ht="15" hidden="false" customHeight="false" outlineLevel="0" collapsed="false">
      <c r="A171" s="11" t="n">
        <f aca="false">MONTH(B171)</f>
        <v>7</v>
      </c>
      <c r="B171" s="12" t="n">
        <v>45852.0086805556</v>
      </c>
      <c r="C171" s="7" t="s">
        <v>1080</v>
      </c>
      <c r="D171" s="7" t="s">
        <v>1079</v>
      </c>
      <c r="E171" s="13" t="n">
        <v>0.00966435184818693</v>
      </c>
      <c r="F171" s="7" t="str">
        <f aca="false">CONCATENATE(C171,"&gt;",D171)</f>
        <v>LLE170&gt;LLE150</v>
      </c>
      <c r="G171" s="7" t="n">
        <f aca="false">VLOOKUP(F171,De_Para!$B$2:$C$1500,2,0)</f>
        <v>60</v>
      </c>
      <c r="AB171" s="7" t="s">
        <v>28</v>
      </c>
      <c r="AC171" s="11" t="s">
        <v>30</v>
      </c>
    </row>
    <row r="172" customFormat="false" ht="15" hidden="false" customHeight="false" outlineLevel="0" collapsed="false">
      <c r="A172" s="11" t="n">
        <f aca="false">MONTH(B172)</f>
        <v>7</v>
      </c>
      <c r="B172" s="12" t="n">
        <v>45856.6114583333</v>
      </c>
      <c r="C172" s="7" t="s">
        <v>1079</v>
      </c>
      <c r="D172" s="7" t="s">
        <v>11</v>
      </c>
      <c r="E172" s="13" t="n">
        <v>0.0500694444417604</v>
      </c>
      <c r="F172" s="7" t="str">
        <f aca="false">CONCATENATE(C172,"&gt;",D172)</f>
        <v>LLE150&gt;CHD318</v>
      </c>
      <c r="G172" s="7" t="n">
        <f aca="false">VLOOKUP(F172,De_Para!$B$2:$C$1500,2,0)</f>
        <v>120</v>
      </c>
      <c r="AB172" s="7" t="s">
        <v>30</v>
      </c>
      <c r="AC172" s="11" t="s">
        <v>11</v>
      </c>
    </row>
    <row r="173" customFormat="false" ht="15" hidden="false" customHeight="false" outlineLevel="0" collapsed="false">
      <c r="A173" s="11" t="n">
        <f aca="false">MONTH(B173)</f>
        <v>7</v>
      </c>
      <c r="B173" s="12" t="n">
        <v>45858.5762268519</v>
      </c>
      <c r="C173" s="7" t="s">
        <v>11</v>
      </c>
      <c r="D173" s="7" t="s">
        <v>17</v>
      </c>
      <c r="E173" s="13" t="n">
        <v>0.0480208333319752</v>
      </c>
      <c r="F173" s="7" t="str">
        <f aca="false">CONCATENATE(C173,"&gt;",D173)</f>
        <v>CHD318&gt;CKF233</v>
      </c>
      <c r="G173" s="7" t="n">
        <f aca="false">VLOOKUP(F173,De_Para!$B$2:$C$1500,2,0)</f>
        <v>70</v>
      </c>
      <c r="AB173" s="7" t="s">
        <v>11</v>
      </c>
      <c r="AC173" s="11" t="s">
        <v>17</v>
      </c>
    </row>
    <row r="174" customFormat="false" ht="15" hidden="false" customHeight="false" outlineLevel="0" collapsed="false">
      <c r="A174" s="11" t="n">
        <f aca="false">MONTH(B174)</f>
        <v>7</v>
      </c>
      <c r="B174" s="12" t="n">
        <v>45859.2933564815</v>
      </c>
      <c r="C174" s="7" t="s">
        <v>17</v>
      </c>
      <c r="D174" s="7" t="s">
        <v>28</v>
      </c>
      <c r="E174" s="13" t="n">
        <v>0.142071759255487</v>
      </c>
      <c r="F174" s="7" t="str">
        <f aca="false">CONCATENATE(C174,"&gt;",D174)</f>
        <v>CKF233&gt;K28150</v>
      </c>
      <c r="G174" s="7" t="n">
        <f aca="false">VLOOKUP(F174,De_Para!$B$2:$C$1500,2,0)</f>
        <v>70</v>
      </c>
      <c r="AB174" s="7" t="s">
        <v>17</v>
      </c>
      <c r="AC174" s="11" t="s">
        <v>1092</v>
      </c>
    </row>
    <row r="175" customFormat="false" ht="15" hidden="false" customHeight="false" outlineLevel="0" collapsed="false">
      <c r="A175" s="11" t="n">
        <f aca="false">MONTH(B175)</f>
        <v>7</v>
      </c>
      <c r="B175" s="12" t="n">
        <v>45859.4827662037</v>
      </c>
      <c r="C175" s="7" t="s">
        <v>28</v>
      </c>
      <c r="D175" s="7" t="s">
        <v>1079</v>
      </c>
      <c r="E175" s="13" t="n">
        <v>0.0465856481532683</v>
      </c>
      <c r="F175" s="7" t="str">
        <f aca="false">CONCATENATE(C175,"&gt;",D175)</f>
        <v>K28150&gt;LLE150</v>
      </c>
      <c r="G175" s="7" t="n">
        <f aca="false">VLOOKUP(F175,De_Para!$B$2:$C$1500,2,0)</f>
        <v>0</v>
      </c>
      <c r="AB175" s="7" t="s">
        <v>1092</v>
      </c>
      <c r="AC175" s="11" t="s">
        <v>1116</v>
      </c>
    </row>
    <row r="176" customFormat="false" ht="15" hidden="false" customHeight="false" outlineLevel="0" collapsed="false">
      <c r="A176" s="11" t="n">
        <f aca="false">MONTH(B176)</f>
        <v>7</v>
      </c>
      <c r="B176" s="12" t="n">
        <v>45859.6866319444</v>
      </c>
      <c r="C176" s="7" t="s">
        <v>1079</v>
      </c>
      <c r="D176" s="7" t="s">
        <v>30</v>
      </c>
      <c r="E176" s="13" t="n">
        <v>0.0168287037013215</v>
      </c>
      <c r="F176" s="7" t="str">
        <f aca="false">CONCATENATE(C176,"&gt;",D176)</f>
        <v>LLE150&gt;K28200</v>
      </c>
      <c r="G176" s="7" t="n">
        <f aca="false">VLOOKUP(F176,De_Para!$B$2:$C$1500,2,0)</f>
        <v>60</v>
      </c>
      <c r="AB176" s="7" t="s">
        <v>1116</v>
      </c>
      <c r="AC176" s="11" t="s">
        <v>1123</v>
      </c>
    </row>
    <row r="177" customFormat="false" ht="15" hidden="false" customHeight="false" outlineLevel="0" collapsed="false">
      <c r="A177" s="11" t="n">
        <f aca="false">MONTH(B177)</f>
        <v>7</v>
      </c>
      <c r="B177" s="12" t="n">
        <v>45862.8677777778</v>
      </c>
      <c r="C177" s="7" t="s">
        <v>30</v>
      </c>
      <c r="D177" s="7" t="s">
        <v>1118</v>
      </c>
      <c r="E177" s="13" t="n">
        <v>0.0223379629605915</v>
      </c>
      <c r="F177" s="7" t="str">
        <f aca="false">CONCATENATE(C177,"&gt;",D177)</f>
        <v>K28200&gt;K28240</v>
      </c>
      <c r="G177" s="7" t="n">
        <f aca="false">VLOOKUP(F177,De_Para!$B$2:$C$1500,2,0)</f>
        <v>50</v>
      </c>
      <c r="AB177" s="7" t="s">
        <v>1123</v>
      </c>
      <c r="AC177" s="11" t="s">
        <v>30</v>
      </c>
    </row>
    <row r="178" customFormat="false" ht="15" hidden="false" customHeight="false" outlineLevel="0" collapsed="false">
      <c r="A178" s="11" t="n">
        <f aca="false">MONTH(B178)</f>
        <v>7</v>
      </c>
      <c r="B178" s="12" t="n">
        <v>45863.6637152778</v>
      </c>
      <c r="C178" s="7" t="s">
        <v>1118</v>
      </c>
      <c r="D178" s="7" t="s">
        <v>1120</v>
      </c>
      <c r="E178" s="13" t="n">
        <v>0.0377893518525525</v>
      </c>
      <c r="F178" s="7" t="str">
        <f aca="false">CONCATENATE(C178,"&gt;",D178)</f>
        <v>K28240&gt;LLE240</v>
      </c>
      <c r="G178" s="7" t="n">
        <f aca="false">VLOOKUP(F178,De_Para!$B$2:$C$1500,2,0)</f>
        <v>0</v>
      </c>
      <c r="AB178" s="7" t="s">
        <v>30</v>
      </c>
      <c r="AC178" s="11" t="s">
        <v>1118</v>
      </c>
    </row>
    <row r="179" customFormat="false" ht="15" hidden="false" customHeight="false" outlineLevel="0" collapsed="false">
      <c r="A179" s="11" t="n">
        <f aca="false">MONTH(B179)</f>
        <v>7</v>
      </c>
      <c r="B179" s="12" t="n">
        <v>45863.9810069444</v>
      </c>
      <c r="C179" s="7" t="s">
        <v>1120</v>
      </c>
      <c r="D179" s="7" t="s">
        <v>1118</v>
      </c>
      <c r="E179" s="13" t="n">
        <v>0.0661342592575238</v>
      </c>
      <c r="F179" s="7" t="str">
        <f aca="false">CONCATENATE(C179,"&gt;",D179)</f>
        <v>LLE240&gt;K28240</v>
      </c>
      <c r="G179" s="7" t="n">
        <f aca="false">VLOOKUP(F179,De_Para!$B$2:$C$1500,2,0)</f>
        <v>0</v>
      </c>
      <c r="AB179" s="7" t="s">
        <v>1118</v>
      </c>
      <c r="AC179" s="11" t="s">
        <v>1119</v>
      </c>
    </row>
    <row r="180" customFormat="false" ht="15" hidden="false" customHeight="false" outlineLevel="0" collapsed="false">
      <c r="A180" s="11" t="n">
        <f aca="false">MONTH(B180)</f>
        <v>7</v>
      </c>
      <c r="B180" s="12" t="n">
        <v>45864.0900347222</v>
      </c>
      <c r="C180" s="7" t="s">
        <v>1118</v>
      </c>
      <c r="D180" s="7" t="s">
        <v>1119</v>
      </c>
      <c r="E180" s="13" t="n">
        <v>0.0362847222204437</v>
      </c>
      <c r="F180" s="7" t="str">
        <f aca="false">CONCATENATE(C180,"&gt;",D180)</f>
        <v>K28240&gt;K28280</v>
      </c>
      <c r="G180" s="7" t="n">
        <f aca="false">VLOOKUP(F180,De_Para!$B$2:$C$1500,2,0)</f>
        <v>50</v>
      </c>
      <c r="AB180" s="7" t="s">
        <v>1119</v>
      </c>
      <c r="AC180" s="11" t="s">
        <v>30</v>
      </c>
    </row>
    <row r="181" customFormat="false" ht="15" hidden="false" customHeight="false" outlineLevel="0" collapsed="false">
      <c r="A181" s="11" t="n">
        <f aca="false">MONTH(B181)</f>
        <v>7</v>
      </c>
      <c r="B181" s="12" t="n">
        <v>45865.0708680556</v>
      </c>
      <c r="C181" s="7" t="s">
        <v>1121</v>
      </c>
      <c r="D181" s="7" t="s">
        <v>29</v>
      </c>
      <c r="E181" s="13" t="n">
        <v>0.0340277777795563</v>
      </c>
      <c r="F181" s="7" t="str">
        <f aca="false">CONCATENATE(C181,"&gt;",D181)</f>
        <v>LLE280&gt;K28170</v>
      </c>
      <c r="G181" s="7" t="n">
        <f aca="false">VLOOKUP(F181,De_Para!$B$2:$C$1500,2,0)</f>
        <v>60</v>
      </c>
      <c r="AB181" s="7" t="s">
        <v>30</v>
      </c>
      <c r="AC181" s="11" t="s">
        <v>28</v>
      </c>
    </row>
    <row r="182" customFormat="false" ht="15" hidden="false" customHeight="false" outlineLevel="0" collapsed="false">
      <c r="A182" s="11" t="n">
        <f aca="false">MONTH(B182)</f>
        <v>7</v>
      </c>
      <c r="B182" s="12" t="n">
        <v>45865.1100462963</v>
      </c>
      <c r="C182" s="7" t="s">
        <v>1119</v>
      </c>
      <c r="D182" s="7" t="s">
        <v>29</v>
      </c>
      <c r="E182" s="13" t="n">
        <v>0.0391782407386927</v>
      </c>
      <c r="F182" s="7" t="str">
        <f aca="false">CONCATENATE(C182,"&gt;",D182)</f>
        <v>K28280&gt;K28170</v>
      </c>
      <c r="G182" s="7" t="n">
        <f aca="false">VLOOKUP(F182,De_Para!$B$2:$C$1500,2,0)</f>
        <v>50</v>
      </c>
      <c r="AB182" s="7" t="s">
        <v>28</v>
      </c>
      <c r="AC182" s="11" t="s">
        <v>29</v>
      </c>
    </row>
    <row r="183" customFormat="false" ht="15" hidden="false" customHeight="false" outlineLevel="0" collapsed="false">
      <c r="A183" s="11" t="n">
        <f aca="false">MONTH(B183)</f>
        <v>7</v>
      </c>
      <c r="B183" s="12" t="n">
        <v>45867.1412037037</v>
      </c>
      <c r="C183" s="7" t="s">
        <v>29</v>
      </c>
      <c r="D183" s="7" t="s">
        <v>28</v>
      </c>
      <c r="E183" s="13" t="n">
        <v>0.19859953703417</v>
      </c>
      <c r="F183" s="7" t="str">
        <f aca="false">CONCATENATE(C183,"&gt;",D183)</f>
        <v>K28170&gt;K28150</v>
      </c>
      <c r="G183" s="7" t="n">
        <f aca="false">VLOOKUP(F183,De_Para!$B$2:$C$1500,2,0)</f>
        <v>20</v>
      </c>
      <c r="AB183" s="7" t="s">
        <v>29</v>
      </c>
      <c r="AC183" s="11" t="s">
        <v>30</v>
      </c>
    </row>
    <row r="184" customFormat="false" ht="15" hidden="false" customHeight="false" outlineLevel="0" collapsed="false">
      <c r="A184" s="11" t="n">
        <f aca="false">MONTH(B184)</f>
        <v>7</v>
      </c>
      <c r="B184" s="12" t="n">
        <v>45868.1847685185</v>
      </c>
      <c r="C184" s="7" t="s">
        <v>28</v>
      </c>
      <c r="D184" s="7" t="s">
        <v>33</v>
      </c>
      <c r="E184" s="13" t="n">
        <v>0.0451851851903484</v>
      </c>
      <c r="F184" s="7" t="str">
        <f aca="false">CONCATENATE(C184,"&gt;",D184)</f>
        <v>K28150&gt;EWC190</v>
      </c>
      <c r="G184" s="7" t="n">
        <f aca="false">VLOOKUP(F184,De_Para!$B$2:$C$1500,2,0)</f>
        <v>60</v>
      </c>
      <c r="AB184" s="7" t="s">
        <v>30</v>
      </c>
      <c r="AC184" s="11" t="s">
        <v>28</v>
      </c>
    </row>
    <row r="185" customFormat="false" ht="15" hidden="false" customHeight="false" outlineLevel="0" collapsed="false">
      <c r="A185" s="11" t="n">
        <f aca="false">MONTH(B185)</f>
        <v>7</v>
      </c>
      <c r="B185" s="12" t="n">
        <v>45869.6156018519</v>
      </c>
      <c r="C185" s="7" t="s">
        <v>33</v>
      </c>
      <c r="D185" s="7" t="s">
        <v>11</v>
      </c>
      <c r="E185" s="13" t="n">
        <v>0.454282407408755</v>
      </c>
      <c r="F185" s="7" t="str">
        <f aca="false">CONCATENATE(C185,"&gt;",D185)</f>
        <v>EWC190&gt;CHD318</v>
      </c>
      <c r="G185" s="7" t="n">
        <f aca="false">VLOOKUP(F185,De_Para!$B$2:$C$1500,2,0)</f>
        <v>120</v>
      </c>
      <c r="AB185" s="7" t="s">
        <v>28</v>
      </c>
      <c r="AC185" s="11" t="s">
        <v>11</v>
      </c>
    </row>
    <row r="186" customFormat="false" ht="15" hidden="false" customHeight="false" outlineLevel="0" collapsed="false">
      <c r="A186" s="11" t="n">
        <f aca="false">MONTH(B186)</f>
        <v>8</v>
      </c>
      <c r="B186" s="12" t="n">
        <v>45871.9727430556</v>
      </c>
      <c r="C186" s="7" t="s">
        <v>11</v>
      </c>
      <c r="D186" s="7" t="s">
        <v>25</v>
      </c>
      <c r="E186" s="13" t="n">
        <v>0.0465393518534256</v>
      </c>
      <c r="F186" s="7" t="str">
        <f aca="false">CONCATENATE(C186,"&gt;",D186)</f>
        <v>CHD318&gt;EWP190</v>
      </c>
      <c r="G186" s="7" t="n">
        <f aca="false">VLOOKUP(F186,De_Para!$B$2:$C$1500,2,0)</f>
        <v>120</v>
      </c>
      <c r="AB186" s="7" t="s">
        <v>11</v>
      </c>
      <c r="AC186" s="11" t="s">
        <v>29</v>
      </c>
    </row>
    <row r="187" customFormat="false" ht="15" hidden="false" customHeight="false" outlineLevel="0" collapsed="false">
      <c r="A187" s="11" t="n">
        <f aca="false">MONTH(B187)</f>
        <v>8</v>
      </c>
      <c r="B187" s="12" t="n">
        <v>45872.6749305556</v>
      </c>
      <c r="C187" s="7" t="s">
        <v>25</v>
      </c>
      <c r="D187" s="7" t="s">
        <v>1086</v>
      </c>
      <c r="E187" s="13" t="n">
        <v>0.0473958333313931</v>
      </c>
      <c r="F187" s="7" t="str">
        <f aca="false">CONCATENATE(C187,"&gt;",D187)</f>
        <v>EWP190&gt;KKL195</v>
      </c>
      <c r="G187" s="7" t="n">
        <f aca="false">VLOOKUP(F187,De_Para!$B$2:$C$1500,2,0)</f>
        <v>120</v>
      </c>
      <c r="AB187" s="7" t="s">
        <v>29</v>
      </c>
      <c r="AC187" s="11" t="s">
        <v>30</v>
      </c>
    </row>
    <row r="188" customFormat="false" ht="15" hidden="false" customHeight="false" outlineLevel="0" collapsed="false">
      <c r="A188" s="11" t="n">
        <f aca="false">MONTH(B188)</f>
        <v>8</v>
      </c>
      <c r="B188" s="12" t="n">
        <v>45873.8832407407</v>
      </c>
      <c r="C188" s="7" t="s">
        <v>1086</v>
      </c>
      <c r="D188" s="7" t="s">
        <v>29</v>
      </c>
      <c r="E188" s="13" t="n">
        <v>0.0384837962919846</v>
      </c>
      <c r="F188" s="7" t="str">
        <f aca="false">CONCATENATE(C188,"&gt;",D188)</f>
        <v>KKL195&gt;K28170</v>
      </c>
      <c r="G188" s="7" t="n">
        <f aca="false">VLOOKUP(F188,De_Para!$B$2:$C$1500,2,0)</f>
        <v>30</v>
      </c>
      <c r="AB188" s="7" t="s">
        <v>30</v>
      </c>
      <c r="AC188" s="11" t="s">
        <v>1086</v>
      </c>
    </row>
    <row r="189" customFormat="false" ht="15" hidden="false" customHeight="false" outlineLevel="0" collapsed="false">
      <c r="A189" s="11" t="n">
        <f aca="false">MONTH(B189)</f>
        <v>8</v>
      </c>
      <c r="B189" s="12" t="n">
        <v>45876.7967361111</v>
      </c>
      <c r="C189" s="7" t="s">
        <v>29</v>
      </c>
      <c r="D189" s="7" t="s">
        <v>1079</v>
      </c>
      <c r="E189" s="13" t="n">
        <v>0.031423611108039</v>
      </c>
      <c r="F189" s="7" t="str">
        <f aca="false">CONCATENATE(C189,"&gt;",D189)</f>
        <v>K28170&gt;LLE150</v>
      </c>
      <c r="G189" s="7" t="n">
        <f aca="false">VLOOKUP(F189,De_Para!$B$2:$C$1500,2,0)</f>
        <v>60</v>
      </c>
      <c r="AB189" s="7" t="s">
        <v>1086</v>
      </c>
      <c r="AC189" s="11" t="s">
        <v>25</v>
      </c>
    </row>
    <row r="190" customFormat="false" ht="15" hidden="false" customHeight="false" outlineLevel="0" collapsed="false">
      <c r="A190" s="11" t="n">
        <f aca="false">MONTH(B190)</f>
        <v>8</v>
      </c>
      <c r="B190" s="12" t="n">
        <v>45879.9975578704</v>
      </c>
      <c r="C190" s="7" t="s">
        <v>28</v>
      </c>
      <c r="D190" s="7" t="s">
        <v>30</v>
      </c>
      <c r="E190" s="13" t="n">
        <v>0.568043981475057</v>
      </c>
      <c r="F190" s="7" t="str">
        <f aca="false">CONCATENATE(C190,"&gt;",D190)</f>
        <v>K28150&gt;K28200</v>
      </c>
      <c r="G190" s="7" t="n">
        <f aca="false">VLOOKUP(F190,De_Para!$B$2:$C$1500,2,0)</f>
        <v>30</v>
      </c>
      <c r="AB190" s="7" t="s">
        <v>33</v>
      </c>
      <c r="AC190" s="11" t="s">
        <v>25</v>
      </c>
    </row>
    <row r="191" customFormat="false" ht="15" hidden="false" customHeight="false" outlineLevel="0" collapsed="false">
      <c r="A191" s="11" t="n">
        <f aca="false">MONTH(B191)</f>
        <v>8</v>
      </c>
      <c r="B191" s="12" t="n">
        <v>45880.6393287037</v>
      </c>
      <c r="C191" s="7" t="s">
        <v>30</v>
      </c>
      <c r="D191" s="7" t="s">
        <v>11</v>
      </c>
      <c r="E191" s="13" t="n">
        <v>0.0746527777810115</v>
      </c>
      <c r="F191" s="7" t="str">
        <f aca="false">CONCATENATE(C191,"&gt;",D191)</f>
        <v>K28200&gt;CHD318</v>
      </c>
      <c r="G191" s="7" t="n">
        <f aca="false">VLOOKUP(F191,De_Para!$B$2:$C$1500,2,0)</f>
        <v>100</v>
      </c>
      <c r="AB191" s="7" t="s">
        <v>25</v>
      </c>
      <c r="AC191" s="11" t="s">
        <v>25</v>
      </c>
    </row>
    <row r="192" customFormat="false" ht="15" hidden="false" customHeight="false" outlineLevel="0" collapsed="false">
      <c r="A192" s="11" t="n">
        <f aca="false">MONTH(B192)</f>
        <v>8</v>
      </c>
      <c r="B192" s="12" t="n">
        <v>45881.2501967593</v>
      </c>
      <c r="C192" s="7" t="s">
        <v>11</v>
      </c>
      <c r="D192" s="7" t="s">
        <v>17</v>
      </c>
      <c r="E192" s="13" t="n">
        <v>0.0346527777801384</v>
      </c>
      <c r="F192" s="7" t="str">
        <f aca="false">CONCATENATE(C192,"&gt;",D192)</f>
        <v>CHD318&gt;CKF233</v>
      </c>
      <c r="G192" s="7" t="n">
        <f aca="false">VLOOKUP(F192,De_Para!$B$2:$C$1500,2,0)</f>
        <v>70</v>
      </c>
      <c r="AB192" s="7" t="s">
        <v>33</v>
      </c>
      <c r="AC192" s="11" t="s">
        <v>25</v>
      </c>
    </row>
    <row r="193" customFormat="false" ht="15" hidden="false" customHeight="false" outlineLevel="0" collapsed="false">
      <c r="A193" s="11" t="n">
        <f aca="false">MONTH(B193)</f>
        <v>8</v>
      </c>
      <c r="B193" s="12" t="n">
        <v>45881.9640162037</v>
      </c>
      <c r="C193" s="7" t="s">
        <v>17</v>
      </c>
      <c r="D193" s="7" t="s">
        <v>1092</v>
      </c>
      <c r="E193" s="13" t="n">
        <v>0.0513888888890506</v>
      </c>
      <c r="F193" s="7" t="str">
        <f aca="false">CONCATENATE(C193,"&gt;",D193)</f>
        <v>CKF233&gt;WTP265</v>
      </c>
      <c r="G193" s="7" t="n">
        <f aca="false">VLOOKUP(F193,De_Para!$B$2:$C$1500,2,0)</f>
        <v>180</v>
      </c>
      <c r="AB193" s="7" t="s">
        <v>25</v>
      </c>
      <c r="AC193" s="11" t="s">
        <v>1086</v>
      </c>
    </row>
    <row r="194" customFormat="false" ht="15" hidden="false" customHeight="false" outlineLevel="0" collapsed="false">
      <c r="A194" s="11" t="n">
        <f aca="false">MONTH(B194)</f>
        <v>8</v>
      </c>
      <c r="B194" s="12" t="n">
        <v>45883.3947916667</v>
      </c>
      <c r="C194" s="7" t="s">
        <v>1092</v>
      </c>
      <c r="D194" s="7" t="s">
        <v>1116</v>
      </c>
      <c r="E194" s="13" t="n">
        <v>0.0328703703708015</v>
      </c>
      <c r="F194" s="7" t="str">
        <f aca="false">CONCATENATE(C194,"&gt;",D194)</f>
        <v>WTP265&gt;WTP300</v>
      </c>
      <c r="G194" s="7" t="n">
        <f aca="false">VLOOKUP(F194,De_Para!$B$2:$C$1500,2,0)</f>
        <v>30</v>
      </c>
      <c r="AB194" s="7" t="s">
        <v>1086</v>
      </c>
      <c r="AC194" s="11" t="s">
        <v>1124</v>
      </c>
    </row>
    <row r="195" customFormat="false" ht="15" hidden="false" customHeight="false" outlineLevel="0" collapsed="false">
      <c r="A195" s="11" t="n">
        <f aca="false">MONTH(B195)</f>
        <v>8</v>
      </c>
      <c r="B195" s="12" t="n">
        <v>45883.6308912037</v>
      </c>
      <c r="C195" s="7" t="s">
        <v>1116</v>
      </c>
      <c r="D195" s="7" t="s">
        <v>1123</v>
      </c>
      <c r="E195" s="13" t="n">
        <v>0.0337847222253913</v>
      </c>
      <c r="F195" s="7" t="str">
        <f aca="false">CONCATENATE(C195,"&gt;",D195)</f>
        <v>WTP300&gt;WTP320</v>
      </c>
      <c r="G195" s="7" t="n">
        <f aca="false">VLOOKUP(F195,De_Para!$B$2:$C$1500,2,0)</f>
        <v>30</v>
      </c>
      <c r="AB195" s="7" t="s">
        <v>1124</v>
      </c>
      <c r="AC195" s="11" t="s">
        <v>25</v>
      </c>
    </row>
    <row r="196" customFormat="false" ht="15" hidden="false" customHeight="false" outlineLevel="0" collapsed="false">
      <c r="A196" s="11" t="n">
        <f aca="false">MONTH(B196)</f>
        <v>8</v>
      </c>
      <c r="B196" s="12" t="n">
        <v>45883.6991203704</v>
      </c>
      <c r="C196" s="7" t="s">
        <v>1123</v>
      </c>
      <c r="D196" s="7" t="s">
        <v>30</v>
      </c>
      <c r="E196" s="13" t="n">
        <v>0.0348379629649571</v>
      </c>
      <c r="F196" s="7" t="str">
        <f aca="false">CONCATENATE(C196,"&gt;",D196)</f>
        <v>WTP320&gt;K28200</v>
      </c>
      <c r="G196" s="7" t="n">
        <f aca="false">VLOOKUP(F196,De_Para!$B$2:$C$1500,2,0)</f>
        <v>30</v>
      </c>
      <c r="AB196" s="7" t="s">
        <v>25</v>
      </c>
      <c r="AC196" s="11" t="s">
        <v>1124</v>
      </c>
    </row>
    <row r="197" customFormat="false" ht="15" hidden="false" customHeight="false" outlineLevel="0" collapsed="false">
      <c r="A197" s="11" t="n">
        <f aca="false">MONTH(B197)</f>
        <v>8</v>
      </c>
      <c r="B197" s="12" t="n">
        <v>45885.4946412037</v>
      </c>
      <c r="C197" s="7" t="s">
        <v>30</v>
      </c>
      <c r="D197" s="7" t="s">
        <v>1118</v>
      </c>
      <c r="E197" s="13" t="n">
        <v>0.0145254629605915</v>
      </c>
      <c r="F197" s="7" t="str">
        <f aca="false">CONCATENATE(C197,"&gt;",D197)</f>
        <v>K28200&gt;K28240</v>
      </c>
      <c r="G197" s="7" t="n">
        <f aca="false">VLOOKUP(F197,De_Para!$B$2:$C$1500,2,0)</f>
        <v>50</v>
      </c>
      <c r="AB197" s="7" t="s">
        <v>1124</v>
      </c>
      <c r="AC197" s="11" t="s">
        <v>1086</v>
      </c>
    </row>
    <row r="198" customFormat="false" ht="15" hidden="false" customHeight="false" outlineLevel="0" collapsed="false">
      <c r="A198" s="11" t="n">
        <f aca="false">MONTH(B198)</f>
        <v>8</v>
      </c>
      <c r="B198" s="12" t="n">
        <v>45887.085462963</v>
      </c>
      <c r="C198" s="7" t="s">
        <v>1118</v>
      </c>
      <c r="D198" s="7" t="s">
        <v>1119</v>
      </c>
      <c r="E198" s="13" t="n">
        <v>0.0283449074049713</v>
      </c>
      <c r="F198" s="7" t="str">
        <f aca="false">CONCATENATE(C198,"&gt;",D198)</f>
        <v>K28240&gt;K28280</v>
      </c>
      <c r="G198" s="7" t="n">
        <f aca="false">VLOOKUP(F198,De_Para!$B$2:$C$1500,2,0)</f>
        <v>50</v>
      </c>
      <c r="AB198" s="7" t="s">
        <v>1086</v>
      </c>
      <c r="AC198" s="11" t="s">
        <v>33</v>
      </c>
    </row>
    <row r="199" customFormat="false" ht="15" hidden="false" customHeight="false" outlineLevel="0" collapsed="false">
      <c r="A199" s="11" t="n">
        <f aca="false">MONTH(B199)</f>
        <v>8</v>
      </c>
      <c r="B199" s="12" t="n">
        <v>45887.5135300926</v>
      </c>
      <c r="C199" s="7" t="s">
        <v>1119</v>
      </c>
      <c r="D199" s="7" t="s">
        <v>30</v>
      </c>
      <c r="E199" s="13" t="n">
        <v>0.0436342592583969</v>
      </c>
      <c r="F199" s="7" t="str">
        <f aca="false">CONCATENATE(C199,"&gt;",D199)</f>
        <v>K28280&gt;K28200</v>
      </c>
      <c r="G199" s="7" t="n">
        <f aca="false">VLOOKUP(F199,De_Para!$B$2:$C$1500,2,0)</f>
        <v>50</v>
      </c>
      <c r="AB199" s="7" t="s">
        <v>33</v>
      </c>
      <c r="AC199" s="11" t="s">
        <v>32</v>
      </c>
    </row>
    <row r="200" customFormat="false" ht="15" hidden="false" customHeight="false" outlineLevel="0" collapsed="false">
      <c r="A200" s="11" t="n">
        <f aca="false">MONTH(B200)</f>
        <v>8</v>
      </c>
      <c r="B200" s="12" t="n">
        <v>45888.5515972222</v>
      </c>
      <c r="C200" s="7" t="s">
        <v>30</v>
      </c>
      <c r="D200" s="7" t="s">
        <v>28</v>
      </c>
      <c r="E200" s="13" t="n">
        <v>0</v>
      </c>
      <c r="F200" s="7" t="str">
        <f aca="false">CONCATENATE(C200,"&gt;",D200)</f>
        <v>K28200&gt;K28150</v>
      </c>
      <c r="G200" s="7" t="n">
        <f aca="false">VLOOKUP(F200,De_Para!$B$2:$C$1500,2,0)</f>
        <v>30</v>
      </c>
      <c r="AB200" s="7" t="s">
        <v>32</v>
      </c>
      <c r="AC200" s="11" t="s">
        <v>1085</v>
      </c>
    </row>
    <row r="201" customFormat="false" ht="15" hidden="false" customHeight="false" outlineLevel="0" collapsed="false">
      <c r="A201" s="11" t="n">
        <f aca="false">MONTH(B201)</f>
        <v>8</v>
      </c>
      <c r="B201" s="12" t="n">
        <v>45890.0825925926</v>
      </c>
      <c r="C201" s="7" t="s">
        <v>28</v>
      </c>
      <c r="D201" s="7" t="s">
        <v>29</v>
      </c>
      <c r="E201" s="13" t="n">
        <v>0.0126157407357823</v>
      </c>
      <c r="F201" s="7" t="str">
        <f aca="false">CONCATENATE(C201,"&gt;",D201)</f>
        <v>K28150&gt;K28170</v>
      </c>
      <c r="G201" s="7" t="n">
        <f aca="false">VLOOKUP(F201,De_Para!$B$2:$C$1500,2,0)</f>
        <v>20</v>
      </c>
      <c r="AB201" s="7" t="s">
        <v>1085</v>
      </c>
      <c r="AC201" s="11" t="s">
        <v>34</v>
      </c>
    </row>
    <row r="202" customFormat="false" ht="15" hidden="false" customHeight="false" outlineLevel="0" collapsed="false">
      <c r="A202" s="11" t="n">
        <f aca="false">MONTH(B202)</f>
        <v>8</v>
      </c>
      <c r="B202" s="12" t="n">
        <v>45891.304212963</v>
      </c>
      <c r="C202" s="7" t="s">
        <v>29</v>
      </c>
      <c r="D202" s="7" t="s">
        <v>30</v>
      </c>
      <c r="E202" s="13" t="n">
        <v>0.015381944445835</v>
      </c>
      <c r="F202" s="7" t="str">
        <f aca="false">CONCATENATE(C202,"&gt;",D202)</f>
        <v>K28170&gt;K28200</v>
      </c>
      <c r="G202" s="7" t="n">
        <f aca="false">VLOOKUP(F202,De_Para!$B$2:$C$1500,2,0)</f>
        <v>15</v>
      </c>
      <c r="AB202" s="7" t="s">
        <v>34</v>
      </c>
      <c r="AC202" s="11" t="s">
        <v>28</v>
      </c>
    </row>
    <row r="203" customFormat="false" ht="15" hidden="false" customHeight="false" outlineLevel="0" collapsed="false">
      <c r="A203" s="11" t="n">
        <f aca="false">MONTH(B203)</f>
        <v>8</v>
      </c>
      <c r="B203" s="12" t="n">
        <v>45891.6895717593</v>
      </c>
      <c r="C203" s="7" t="s">
        <v>30</v>
      </c>
      <c r="D203" s="7" t="s">
        <v>1084</v>
      </c>
      <c r="E203" s="13" t="n">
        <v>0.0372106481445371</v>
      </c>
      <c r="F203" s="7" t="str">
        <f aca="false">CONCATENATE(C203,"&gt;",D203)</f>
        <v>K28200&gt;LLE200</v>
      </c>
      <c r="G203" s="7" t="n">
        <f aca="false">VLOOKUP(F203,De_Para!$B$2:$C$1500,2,0)</f>
        <v>0</v>
      </c>
      <c r="AB203" s="7" t="s">
        <v>28</v>
      </c>
      <c r="AC203" s="11" t="s">
        <v>34</v>
      </c>
    </row>
    <row r="204" customFormat="false" ht="15" hidden="false" customHeight="false" outlineLevel="0" collapsed="false">
      <c r="A204" s="11" t="n">
        <f aca="false">MONTH(B204)</f>
        <v>8</v>
      </c>
      <c r="B204" s="12" t="n">
        <v>45894.7108217593</v>
      </c>
      <c r="C204" s="7" t="s">
        <v>28</v>
      </c>
      <c r="D204" s="7" t="s">
        <v>11</v>
      </c>
      <c r="E204" s="13" t="n">
        <v>0.0405671296321088</v>
      </c>
      <c r="F204" s="7" t="str">
        <f aca="false">CONCATENATE(C204,"&gt;",D204)</f>
        <v>K28150&gt;CHD318</v>
      </c>
      <c r="G204" s="7" t="n">
        <f aca="false">VLOOKUP(F204,De_Para!$B$2:$C$1500,2,0)</f>
        <v>120</v>
      </c>
      <c r="AB204" s="7" t="s">
        <v>34</v>
      </c>
      <c r="AC204" s="11" t="s">
        <v>28</v>
      </c>
    </row>
    <row r="205" customFormat="false" ht="15" hidden="false" customHeight="false" outlineLevel="0" collapsed="false">
      <c r="A205" s="11" t="n">
        <f aca="false">MONTH(B205)</f>
        <v>8</v>
      </c>
      <c r="B205" s="12" t="n">
        <v>45897.0729398148</v>
      </c>
      <c r="C205" s="7" t="s">
        <v>11</v>
      </c>
      <c r="D205" s="7" t="s">
        <v>29</v>
      </c>
      <c r="E205" s="13" t="n">
        <v>0.046875</v>
      </c>
      <c r="F205" s="7" t="str">
        <f aca="false">CONCATENATE(C205,"&gt;",D205)</f>
        <v>CHD318&gt;K28170</v>
      </c>
      <c r="G205" s="7" t="n">
        <f aca="false">VLOOKUP(F205,De_Para!$B$2:$C$1500,2,0)</f>
        <v>120</v>
      </c>
      <c r="AB205" s="0" t="s">
        <v>33</v>
      </c>
      <c r="AC205" s="37" t="s">
        <v>32</v>
      </c>
    </row>
    <row r="206" customFormat="false" ht="15" hidden="false" customHeight="false" outlineLevel="0" collapsed="false">
      <c r="A206" s="11" t="n">
        <f aca="false">MONTH(B206)</f>
        <v>8</v>
      </c>
      <c r="B206" s="12" t="n">
        <v>45899.3186342593</v>
      </c>
      <c r="C206" s="7" t="s">
        <v>29</v>
      </c>
      <c r="D206" s="7" t="s">
        <v>1080</v>
      </c>
      <c r="E206" s="13" t="n">
        <v>0.0446180555591127</v>
      </c>
      <c r="F206" s="7" t="str">
        <f aca="false">CONCATENATE(C206,"&gt;",D206)</f>
        <v>K28170&gt;LLE170</v>
      </c>
      <c r="G206" s="7" t="n">
        <f aca="false">VLOOKUP(F206,De_Para!$B$2:$C$1500,2,0)</f>
        <v>0</v>
      </c>
      <c r="AB206" s="0" t="s">
        <v>32</v>
      </c>
      <c r="AC206" s="37" t="s">
        <v>1085</v>
      </c>
    </row>
    <row r="207" customFormat="false" ht="15" hidden="false" customHeight="false" outlineLevel="0" collapsed="false">
      <c r="A207" s="11" t="n">
        <f aca="false">MONTH(B207)</f>
        <v>9</v>
      </c>
      <c r="B207" s="12" t="n">
        <v>45902.3992476852</v>
      </c>
      <c r="C207" s="7" t="s">
        <v>29</v>
      </c>
      <c r="D207" s="7" t="s">
        <v>30</v>
      </c>
      <c r="E207" s="13" t="n">
        <v>1.15396990740555</v>
      </c>
      <c r="F207" s="7" t="str">
        <f aca="false">CONCATENATE(C207,"&gt;",D207)</f>
        <v>K28170&gt;K28200</v>
      </c>
      <c r="G207" s="7" t="n">
        <f aca="false">VLOOKUP(F207,De_Para!$B$2:$C$1500,2,0)</f>
        <v>15</v>
      </c>
      <c r="AB207" s="0" t="s">
        <v>1085</v>
      </c>
      <c r="AC207" s="37" t="s">
        <v>34</v>
      </c>
    </row>
    <row r="208" customFormat="false" ht="15" hidden="false" customHeight="false" outlineLevel="0" collapsed="false">
      <c r="A208" s="11" t="n">
        <f aca="false">MONTH(B208)</f>
        <v>9</v>
      </c>
      <c r="B208" s="12" t="n">
        <v>45903.4223842593</v>
      </c>
      <c r="C208" s="7" t="s">
        <v>30</v>
      </c>
      <c r="D208" s="7" t="s">
        <v>1086</v>
      </c>
      <c r="E208" s="13" t="n">
        <v>0.0475115740773617</v>
      </c>
      <c r="F208" s="7" t="str">
        <f aca="false">CONCATENATE(C208,"&gt;",D208)</f>
        <v>K28200&gt;KKL195</v>
      </c>
      <c r="G208" s="7" t="n">
        <f aca="false">VLOOKUP(F208,De_Para!$B$2:$C$1500,2,0)</f>
        <v>90</v>
      </c>
      <c r="AB208" s="0" t="s">
        <v>34</v>
      </c>
      <c r="AC208" s="37" t="s">
        <v>28</v>
      </c>
    </row>
    <row r="209" customFormat="false" ht="15" hidden="false" customHeight="false" outlineLevel="0" collapsed="false">
      <c r="A209" s="11" t="n">
        <f aca="false">MONTH(B209)</f>
        <v>9</v>
      </c>
      <c r="B209" s="12" t="n">
        <v>45903.7750925926</v>
      </c>
      <c r="C209" s="7" t="s">
        <v>1086</v>
      </c>
      <c r="D209" s="7" t="s">
        <v>25</v>
      </c>
      <c r="E209" s="13" t="n">
        <v>0.0475694444467081</v>
      </c>
      <c r="F209" s="7" t="str">
        <f aca="false">CONCATENATE(C209,"&gt;",D209)</f>
        <v>KKL195&gt;EWP190</v>
      </c>
      <c r="G209" s="7" t="n">
        <f aca="false">VLOOKUP(F209,De_Para!$B$2:$C$1500,2,0)</f>
        <v>30</v>
      </c>
      <c r="AB209" s="0" t="s">
        <v>28</v>
      </c>
      <c r="AC209" s="37" t="s">
        <v>34</v>
      </c>
    </row>
    <row r="210" customFormat="false" ht="15" hidden="false" customHeight="false" outlineLevel="0" collapsed="false">
      <c r="A210" s="11" t="n">
        <f aca="false">MONTH(B210)</f>
        <v>9</v>
      </c>
      <c r="B210" s="12" t="n">
        <v>45904.5055324074</v>
      </c>
      <c r="C210" s="7" t="s">
        <v>25</v>
      </c>
      <c r="D210" s="7" t="s">
        <v>1086</v>
      </c>
      <c r="E210" s="13" t="n">
        <v>0.0432291666656965</v>
      </c>
      <c r="F210" s="7" t="str">
        <f aca="false">CONCATENATE(C210,"&gt;",D210)</f>
        <v>EWP190&gt;KKL195</v>
      </c>
      <c r="G210" s="7" t="n">
        <f aca="false">VLOOKUP(F210,De_Para!$B$2:$C$1500,2,0)</f>
        <v>120</v>
      </c>
      <c r="AB210" s="0" t="s">
        <v>34</v>
      </c>
      <c r="AC210" s="37" t="s">
        <v>28</v>
      </c>
    </row>
    <row r="211" customFormat="false" ht="15" hidden="false" customHeight="false" outlineLevel="0" collapsed="false">
      <c r="A211" s="11" t="n">
        <f aca="false">MONTH(B211)</f>
        <v>9</v>
      </c>
      <c r="B211" s="12" t="n">
        <v>45904.6905324074</v>
      </c>
      <c r="C211" s="7" t="s">
        <v>1086</v>
      </c>
      <c r="D211" s="7" t="s">
        <v>1124</v>
      </c>
      <c r="E211" s="13" t="n">
        <v>0.0487731481480296</v>
      </c>
      <c r="F211" s="7" t="str">
        <f aca="false">CONCATENATE(C211,"&gt;",D211)</f>
        <v>KKL195&gt;KKS195</v>
      </c>
      <c r="G211" s="7" t="n">
        <f aca="false">VLOOKUP(F211,De_Para!$B$2:$C$1500,2,0)</f>
        <v>0</v>
      </c>
    </row>
    <row r="212" customFormat="false" ht="15" hidden="false" customHeight="false" outlineLevel="0" collapsed="false">
      <c r="A212" s="11" t="n">
        <f aca="false">MONTH(B212)</f>
        <v>9</v>
      </c>
      <c r="B212" s="12" t="n">
        <v>45904.9221412037</v>
      </c>
      <c r="C212" s="7" t="s">
        <v>1124</v>
      </c>
      <c r="D212" s="7" t="s">
        <v>25</v>
      </c>
      <c r="E212" s="13" t="n">
        <v>0.0375578703678912</v>
      </c>
      <c r="F212" s="7" t="str">
        <f aca="false">CONCATENATE(C212,"&gt;",D212)</f>
        <v>KKS195&gt;EWP190</v>
      </c>
      <c r="G212" s="7" t="n">
        <f aca="false">VLOOKUP(F212,De_Para!$B$2:$C$1500,2,0)</f>
        <v>50</v>
      </c>
    </row>
    <row r="213" customFormat="false" ht="15" hidden="false" customHeight="false" outlineLevel="0" collapsed="false">
      <c r="A213" s="11" t="n">
        <f aca="false">MONTH(B213)</f>
        <v>9</v>
      </c>
      <c r="B213" s="12" t="n">
        <v>45905.4073611111</v>
      </c>
      <c r="C213" s="7" t="s">
        <v>25</v>
      </c>
      <c r="D213" s="7" t="s">
        <v>1124</v>
      </c>
      <c r="E213" s="13" t="n">
        <v>0.046631944445835</v>
      </c>
      <c r="F213" s="7" t="str">
        <f aca="false">CONCATENATE(C213,"&gt;",D213)</f>
        <v>EWP190&gt;KKS195</v>
      </c>
      <c r="G213" s="7" t="n">
        <f aca="false">VLOOKUP(F213,De_Para!$B$2:$C$1500,2,0)</f>
        <v>120</v>
      </c>
    </row>
    <row r="214" customFormat="false" ht="15" hidden="false" customHeight="false" outlineLevel="0" collapsed="false">
      <c r="A214" s="11" t="n">
        <f aca="false">MONTH(B214)</f>
        <v>9</v>
      </c>
      <c r="B214" s="12" t="n">
        <v>45905.8191087963</v>
      </c>
      <c r="C214" s="7" t="s">
        <v>1124</v>
      </c>
      <c r="D214" s="7" t="s">
        <v>1086</v>
      </c>
      <c r="E214" s="13" t="n">
        <v>0.0432870370423188</v>
      </c>
      <c r="F214" s="7" t="str">
        <f aca="false">CONCATENATE(C214,"&gt;",D214)</f>
        <v>KKS195&gt;KKL195</v>
      </c>
      <c r="G214" s="7" t="n">
        <f aca="false">VLOOKUP(F214,De_Para!$B$2:$C$1500,2,0)</f>
        <v>50</v>
      </c>
    </row>
    <row r="215" customFormat="false" ht="15" hidden="false" customHeight="false" outlineLevel="0" collapsed="false">
      <c r="A215" s="11" t="n">
        <f aca="false">MONTH(B215)</f>
        <v>9</v>
      </c>
      <c r="B215" s="12" t="n">
        <v>45906.6710648148</v>
      </c>
      <c r="C215" s="7" t="s">
        <v>1086</v>
      </c>
      <c r="D215" s="7" t="s">
        <v>33</v>
      </c>
      <c r="E215" s="13" t="n">
        <v>0.0476851851854008</v>
      </c>
      <c r="F215" s="7" t="str">
        <f aca="false">CONCATENATE(C215,"&gt;",D215)</f>
        <v>KKL195&gt;EWC190</v>
      </c>
      <c r="G215" s="7" t="n">
        <f aca="false">VLOOKUP(F215,De_Para!$B$2:$C$1500,2,0)</f>
        <v>30</v>
      </c>
    </row>
    <row r="216" customFormat="false" ht="15" hidden="false" customHeight="false" outlineLevel="0" collapsed="false">
      <c r="A216" s="11" t="n">
        <f aca="false">MONTH(B216)</f>
        <v>9</v>
      </c>
      <c r="B216" s="12" t="n">
        <v>45907.0311342593</v>
      </c>
      <c r="C216" s="7" t="s">
        <v>33</v>
      </c>
      <c r="D216" s="7" t="s">
        <v>32</v>
      </c>
      <c r="E216" s="13" t="n">
        <v>0.0498263888875954</v>
      </c>
      <c r="F216" s="7" t="str">
        <f aca="false">CONCATENATE(C216,"&gt;",D216)</f>
        <v>EWC190&gt;EWC175</v>
      </c>
      <c r="G216" s="7" t="n">
        <f aca="false">VLOOKUP(F216,De_Para!$B$2:$C$1500,2,0)</f>
        <v>20</v>
      </c>
    </row>
    <row r="217" customFormat="false" ht="15" hidden="false" customHeight="false" outlineLevel="0" collapsed="false">
      <c r="A217" s="11" t="n">
        <f aca="false">MONTH(B217)</f>
        <v>9</v>
      </c>
      <c r="B217" s="12" t="n">
        <v>45907.4379050926</v>
      </c>
      <c r="C217" s="7" t="s">
        <v>32</v>
      </c>
      <c r="D217" s="7" t="s">
        <v>1085</v>
      </c>
      <c r="E217" s="13" t="n">
        <v>0.0462962962992606</v>
      </c>
      <c r="F217" s="7" t="str">
        <f aca="false">CONCATENATE(C217,"&gt;",D217)</f>
        <v>EWC175&gt;EKW200</v>
      </c>
      <c r="G217" s="7" t="n">
        <f aca="false">VLOOKUP(F217,De_Para!$B$2:$C$1500,2,0)</f>
        <v>80</v>
      </c>
    </row>
    <row r="218" customFormat="false" ht="15" hidden="false" customHeight="false" outlineLevel="0" collapsed="false">
      <c r="A218" s="11" t="n">
        <f aca="false">MONTH(B218)</f>
        <v>9</v>
      </c>
      <c r="B218" s="12" t="n">
        <v>45908.3696527778</v>
      </c>
      <c r="C218" s="7" t="s">
        <v>1085</v>
      </c>
      <c r="D218" s="7" t="s">
        <v>34</v>
      </c>
      <c r="E218" s="13" t="n">
        <v>0.44663194444729</v>
      </c>
      <c r="F218" s="7" t="str">
        <f aca="false">CONCATENATE(C218,"&gt;",D218)</f>
        <v>EKW200&gt;EKW175</v>
      </c>
      <c r="G218" s="7" t="n">
        <f aca="false">VLOOKUP(F218,De_Para!$B$2:$C$1500,2,0)</f>
        <v>50</v>
      </c>
    </row>
    <row r="219" customFormat="false" ht="15" hidden="false" customHeight="false" outlineLevel="0" collapsed="false">
      <c r="A219" s="11" t="n">
        <f aca="false">MONTH(B219)</f>
        <v>9</v>
      </c>
      <c r="B219" s="12" t="n">
        <v>45908.7143171296</v>
      </c>
      <c r="C219" s="7" t="s">
        <v>34</v>
      </c>
      <c r="D219" s="7" t="s">
        <v>28</v>
      </c>
      <c r="E219" s="13" t="n">
        <v>0.0534027777757729</v>
      </c>
      <c r="F219" s="7" t="str">
        <f aca="false">CONCATENATE(C219,"&gt;",D219)</f>
        <v>EKW175&gt;K28150</v>
      </c>
      <c r="G219" s="7" t="n">
        <f aca="false">VLOOKUP(F219,De_Para!$B$2:$C$1500,2,0)</f>
        <v>80</v>
      </c>
    </row>
    <row r="220" customFormat="false" ht="15" hidden="false" customHeight="false" outlineLevel="0" collapsed="false">
      <c r="A220" s="11" t="n">
        <f aca="false">MONTH(B220)</f>
        <v>9</v>
      </c>
      <c r="B220" s="12" t="n">
        <v>45909.3194675926</v>
      </c>
      <c r="C220" s="7" t="s">
        <v>28</v>
      </c>
      <c r="D220" s="7" t="s">
        <v>34</v>
      </c>
      <c r="E220" s="13" t="n">
        <v>0.0514583333351766</v>
      </c>
      <c r="F220" s="7" t="str">
        <f aca="false">CONCATENATE(C220,"&gt;",D220)</f>
        <v>K28150&gt;EKW175</v>
      </c>
      <c r="G220" s="7" t="n">
        <f aca="false">VLOOKUP(F220,De_Para!$B$2:$C$1500,2,0)</f>
        <v>120</v>
      </c>
    </row>
    <row r="221" customFormat="false" ht="15" hidden="false" customHeight="false" outlineLevel="0" collapsed="false">
      <c r="A221" s="11" t="n">
        <f aca="false">MONTH(B221)</f>
        <v>9</v>
      </c>
      <c r="B221" s="12" t="n">
        <v>45913.9151157407</v>
      </c>
      <c r="C221" s="7" t="s">
        <v>34</v>
      </c>
      <c r="D221" s="7" t="s">
        <v>28</v>
      </c>
      <c r="E221" s="13" t="n">
        <v>0.0212962962978054</v>
      </c>
      <c r="F221" s="7" t="str">
        <f aca="false">CONCATENATE(C221,"&gt;",D221)</f>
        <v>EKW175&gt;K28150</v>
      </c>
      <c r="G221" s="7" t="n">
        <f aca="false">VLOOKUP(F221,De_Para!$B$2:$C$1500,2,0)</f>
        <v>80</v>
      </c>
    </row>
    <row r="222" customFormat="false" ht="15" hidden="false" customHeight="false" outlineLevel="0" collapsed="false">
      <c r="A222" s="11" t="n">
        <f aca="false">MONTH(B222)</f>
        <v>9</v>
      </c>
      <c r="B222" s="12" t="n">
        <v>45916.1253819445</v>
      </c>
      <c r="C222" s="7" t="s">
        <v>28</v>
      </c>
      <c r="D222" s="7" t="s">
        <v>30</v>
      </c>
      <c r="E222" s="13" t="n">
        <v>0.0169560185240698</v>
      </c>
      <c r="F222" s="7" t="str">
        <f aca="false">CONCATENATE(C222,"&gt;",D222)</f>
        <v>K28150&gt;K28200</v>
      </c>
      <c r="G222" s="7" t="n">
        <f aca="false">VLOOKUP(F222,De_Para!$B$2:$C$1500,2,0)</f>
        <v>30</v>
      </c>
    </row>
    <row r="223" customFormat="false" ht="15" hidden="false" customHeight="false" outlineLevel="0" collapsed="false">
      <c r="A223" s="11" t="n">
        <f aca="false">MONTH(B223)</f>
        <v>9</v>
      </c>
      <c r="B223" s="12" t="n">
        <v>45916.695462963</v>
      </c>
      <c r="C223" s="7" t="s">
        <v>30</v>
      </c>
      <c r="D223" s="7" t="s">
        <v>1118</v>
      </c>
      <c r="E223" s="13" t="n">
        <v>0.0360532407430583</v>
      </c>
      <c r="F223" s="7" t="str">
        <f aca="false">CONCATENATE(C223,"&gt;",D223)</f>
        <v>K28200&gt;K28240</v>
      </c>
      <c r="G223" s="7" t="n">
        <f aca="false">VLOOKUP(F223,De_Para!$B$2:$C$1500,2,0)</f>
        <v>50</v>
      </c>
    </row>
    <row r="224" customFormat="false" ht="15" hidden="false" customHeight="false" outlineLevel="0" collapsed="false">
      <c r="A224" s="11" t="n">
        <f aca="false">MONTH(B224)</f>
        <v>9</v>
      </c>
      <c r="B224" s="12" t="n">
        <v>45917.0446412037</v>
      </c>
      <c r="C224" s="7" t="s">
        <v>1118</v>
      </c>
      <c r="D224" s="7" t="s">
        <v>29</v>
      </c>
      <c r="E224" s="13" t="n">
        <v>0.028981481482333</v>
      </c>
      <c r="F224" s="7" t="str">
        <f aca="false">CONCATENATE(C224,"&gt;",D224)</f>
        <v>K28240&gt;K28170</v>
      </c>
      <c r="G224" s="7" t="n">
        <f aca="false">VLOOKUP(F224,De_Para!$B$2:$C$1500,2,0)</f>
        <v>60</v>
      </c>
    </row>
    <row r="225" customFormat="false" ht="15" hidden="false" customHeight="false" outlineLevel="0" collapsed="false">
      <c r="A225" s="11" t="n">
        <f aca="false">MONTH(B225)</f>
        <v>9</v>
      </c>
      <c r="B225" s="12" t="n">
        <v>45917.6551157407</v>
      </c>
      <c r="C225" s="7" t="s">
        <v>29</v>
      </c>
      <c r="D225" s="7" t="s">
        <v>11</v>
      </c>
      <c r="E225" s="13" t="n">
        <v>0.041261574071541</v>
      </c>
      <c r="F225" s="7" t="str">
        <f aca="false">CONCATENATE(C225,"&gt;",D225)</f>
        <v>K28170&gt;CHD318</v>
      </c>
      <c r="G225" s="7" t="n">
        <f aca="false">VLOOKUP(F225,De_Para!$B$2:$C$1500,2,0)</f>
        <v>100</v>
      </c>
    </row>
    <row r="226" customFormat="false" ht="15" hidden="false" customHeight="false" outlineLevel="0" collapsed="false">
      <c r="A226" s="11" t="n">
        <f aca="false">MONTH(B226)</f>
        <v>9</v>
      </c>
      <c r="B226" s="12" t="n">
        <v>45921.3106712963</v>
      </c>
      <c r="C226" s="7" t="s">
        <v>11</v>
      </c>
      <c r="D226" s="7" t="s">
        <v>17</v>
      </c>
      <c r="E226" s="13" t="n">
        <v>0.0449652777824667</v>
      </c>
      <c r="F226" s="7" t="str">
        <f aca="false">CONCATENATE(C226,"&gt;",D226)</f>
        <v>CHD318&gt;CKF233</v>
      </c>
      <c r="G226" s="7" t="n">
        <f aca="false">VLOOKUP(F226,De_Para!$B$2:$C$1500,2,0)</f>
        <v>70</v>
      </c>
    </row>
    <row r="227" customFormat="false" ht="15" hidden="false" customHeight="false" outlineLevel="0" collapsed="false">
      <c r="A227" s="11" t="n">
        <f aca="false">MONTH(B227)</f>
        <v>9</v>
      </c>
      <c r="B227" s="12" t="n">
        <v>45921.5289583333</v>
      </c>
      <c r="C227" s="7" t="s">
        <v>17</v>
      </c>
      <c r="D227" s="7" t="s">
        <v>25</v>
      </c>
      <c r="E227" s="13" t="n">
        <v>0.0440393518510973</v>
      </c>
      <c r="F227" s="7" t="str">
        <f aca="false">CONCATENATE(C227,"&gt;",D227)</f>
        <v>CKF233&gt;EWP190</v>
      </c>
      <c r="G227" s="7" t="n">
        <f aca="false">VLOOKUP(F227,De_Para!$B$2:$C$1500,2,0)</f>
        <v>65</v>
      </c>
    </row>
    <row r="228" customFormat="false" ht="15" hidden="false" customHeight="false" outlineLevel="0" collapsed="false">
      <c r="A228" s="11" t="n">
        <f aca="false">MONTH(B228)</f>
        <v>9</v>
      </c>
      <c r="B228" s="12" t="n">
        <v>45922.231087963</v>
      </c>
      <c r="C228" s="7" t="s">
        <v>25</v>
      </c>
      <c r="D228" s="7" t="s">
        <v>1114</v>
      </c>
      <c r="E228" s="13" t="n">
        <v>0.0439351851891843</v>
      </c>
      <c r="F228" s="7" t="str">
        <f aca="false">CONCATENATE(C228,"&gt;",D228)</f>
        <v>EWP190&gt;WTP250</v>
      </c>
      <c r="G228" s="7" t="n">
        <f aca="false">VLOOKUP(F228,De_Para!$B$2:$C$1500,2,0)</f>
        <v>240</v>
      </c>
    </row>
    <row r="229" customFormat="false" ht="15" hidden="false" customHeight="false" outlineLevel="0" collapsed="false">
      <c r="A229" s="11" t="n">
        <f aca="false">MONTH(B229)</f>
        <v>9</v>
      </c>
      <c r="B229" s="12" t="n">
        <v>45923.0163773148</v>
      </c>
      <c r="C229" s="7" t="s">
        <v>1114</v>
      </c>
      <c r="D229" s="7" t="s">
        <v>1115</v>
      </c>
      <c r="E229" s="13" t="n">
        <v>0.0347337962957681</v>
      </c>
      <c r="F229" s="7" t="str">
        <f aca="false">CONCATENATE(C229,"&gt;",D229)</f>
        <v>WTP250&gt;WTP280</v>
      </c>
      <c r="G229" s="7" t="n">
        <f aca="false">VLOOKUP(F229,De_Para!$B$2:$C$1500,2,0)</f>
        <v>30</v>
      </c>
    </row>
    <row r="230" customFormat="false" ht="15" hidden="false" customHeight="false" outlineLevel="0" collapsed="false">
      <c r="A230" s="11" t="n">
        <f aca="false">MONTH(B230)</f>
        <v>9</v>
      </c>
      <c r="B230" s="12" t="n">
        <v>45923.4534606482</v>
      </c>
      <c r="C230" s="7" t="s">
        <v>1115</v>
      </c>
      <c r="D230" s="7" t="s">
        <v>1116</v>
      </c>
      <c r="E230" s="13" t="n">
        <v>0.0334953703713836</v>
      </c>
      <c r="F230" s="7" t="str">
        <f aca="false">CONCATENATE(C230,"&gt;",D230)</f>
        <v>WTP280&gt;WTP300</v>
      </c>
      <c r="G230" s="7" t="n">
        <f aca="false">VLOOKUP(F230,De_Para!$B$2:$C$1500,2,0)</f>
        <v>30</v>
      </c>
    </row>
    <row r="231" customFormat="false" ht="15" hidden="false" customHeight="false" outlineLevel="0" collapsed="false">
      <c r="A231" s="11" t="n">
        <f aca="false">MONTH(B231)</f>
        <v>9</v>
      </c>
      <c r="B231" s="12" t="n">
        <v>45923.5926388889</v>
      </c>
      <c r="C231" s="7" t="s">
        <v>1116</v>
      </c>
      <c r="D231" s="7" t="s">
        <v>1125</v>
      </c>
      <c r="E231" s="13" t="n">
        <v>0.0379629629678675</v>
      </c>
      <c r="F231" s="7" t="str">
        <f aca="false">CONCATENATE(C231,"&gt;",D231)</f>
        <v>WTP300&gt;WCP250</v>
      </c>
      <c r="G231" s="7" t="n">
        <f aca="false">VLOOKUP(F231,De_Para!$B$2:$C$1500,2,0)</f>
        <v>60</v>
      </c>
    </row>
    <row r="232" customFormat="false" ht="15" hidden="false" customHeight="false" outlineLevel="0" collapsed="false">
      <c r="A232" s="11" t="n">
        <f aca="false">MONTH(B232)</f>
        <v>9</v>
      </c>
      <c r="B232" s="12" t="n">
        <v>45923.9739930556</v>
      </c>
      <c r="C232" s="7" t="s">
        <v>1125</v>
      </c>
      <c r="D232" s="7" t="s">
        <v>17</v>
      </c>
      <c r="E232" s="13" t="n">
        <v>0.039340277784504</v>
      </c>
      <c r="F232" s="7" t="str">
        <f aca="false">CONCATENATE(C232,"&gt;",D232)</f>
        <v>WCP250&gt;CKF233</v>
      </c>
      <c r="G232" s="7" t="n">
        <f aca="false">VLOOKUP(F232,De_Para!$B$2:$C$1500,2,0)</f>
        <v>240</v>
      </c>
    </row>
    <row r="233" customFormat="false" ht="15" hidden="false" customHeight="false" outlineLevel="0" collapsed="false">
      <c r="A233" s="11" t="n">
        <f aca="false">MONTH(B233)</f>
        <v>9</v>
      </c>
      <c r="B233" s="12" t="n">
        <v>45924.7707407407</v>
      </c>
      <c r="C233" s="7" t="s">
        <v>17</v>
      </c>
      <c r="D233" s="7" t="s">
        <v>33</v>
      </c>
      <c r="E233" s="13" t="n">
        <v>0.047048611115315</v>
      </c>
      <c r="F233" s="7" t="str">
        <f aca="false">CONCATENATE(C233,"&gt;",D233)</f>
        <v>CKF233&gt;EWC190</v>
      </c>
      <c r="G233" s="7" t="n">
        <f aca="false">VLOOKUP(F233,De_Para!$B$2:$C$1500,2,0)</f>
        <v>65</v>
      </c>
    </row>
    <row r="234" customFormat="false" ht="15" hidden="false" customHeight="false" outlineLevel="0" collapsed="false">
      <c r="A234" s="11" t="n">
        <f aca="false">MONTH(B234)</f>
        <v>9</v>
      </c>
      <c r="B234" s="12" t="n">
        <v>45924.9526273148</v>
      </c>
      <c r="C234" s="7" t="s">
        <v>33</v>
      </c>
      <c r="D234" s="7" t="s">
        <v>32</v>
      </c>
      <c r="E234" s="13" t="n">
        <v>0.0455439814832062</v>
      </c>
      <c r="F234" s="7" t="str">
        <f aca="false">CONCATENATE(C234,"&gt;",D234)</f>
        <v>EWC190&gt;EWC175</v>
      </c>
      <c r="G234" s="7" t="n">
        <f aca="false">VLOOKUP(F234,De_Para!$B$2:$C$1500,2,0)</f>
        <v>20</v>
      </c>
    </row>
    <row r="235" customFormat="false" ht="15" hidden="false" customHeight="false" outlineLevel="0" collapsed="false">
      <c r="A235" s="11" t="n">
        <f aca="false">MONTH(B235)</f>
        <v>9</v>
      </c>
      <c r="B235" s="12" t="n">
        <v>45925.58</v>
      </c>
      <c r="C235" s="7" t="s">
        <v>32</v>
      </c>
      <c r="D235" s="7" t="s">
        <v>1079</v>
      </c>
      <c r="E235" s="13" t="n">
        <v>0.0493055555562023</v>
      </c>
      <c r="F235" s="7" t="str">
        <f aca="false">CONCATENATE(C235,"&gt;",D235)</f>
        <v>EWC175&gt;LLE150</v>
      </c>
      <c r="G235" s="7" t="n">
        <f aca="false">VLOOKUP(F235,De_Para!$B$2:$C$1500,2,0)</f>
        <v>120</v>
      </c>
    </row>
    <row r="236" customFormat="false" ht="15" hidden="false" customHeight="false" outlineLevel="0" collapsed="false">
      <c r="A236" s="11" t="n">
        <f aca="false">MONTH(B236)</f>
        <v>9</v>
      </c>
      <c r="B236" s="12" t="n">
        <v>45929.8975231481</v>
      </c>
      <c r="C236" s="7" t="s">
        <v>28</v>
      </c>
      <c r="D236" s="7" t="s">
        <v>1084</v>
      </c>
      <c r="E236" s="13" t="n">
        <v>0.0442129629591364</v>
      </c>
      <c r="F236" s="7" t="str">
        <f aca="false">CONCATENATE(C236,"&gt;",D236)</f>
        <v>K28150&gt;LLE200</v>
      </c>
      <c r="G236" s="7" t="n">
        <f aca="false">VLOOKUP(F236,De_Para!$B$2:$C$1500,2,0)</f>
        <v>60</v>
      </c>
    </row>
    <row r="237" customFormat="false" ht="15" hidden="false" customHeight="false" outlineLevel="0" collapsed="false">
      <c r="A237" s="11" t="n">
        <f aca="false">MONTH(B237)</f>
        <v>10</v>
      </c>
      <c r="B237" s="12" t="n">
        <v>45932.0206481482</v>
      </c>
      <c r="C237" s="7" t="s">
        <v>30</v>
      </c>
      <c r="D237" s="7" t="s">
        <v>28</v>
      </c>
      <c r="E237" s="13" t="n">
        <v>0.772974537037953</v>
      </c>
      <c r="F237" s="7" t="str">
        <f aca="false">CONCATENATE(C237,"&gt;",D237)</f>
        <v>K28200&gt;K28150</v>
      </c>
      <c r="G237" s="7" t="n">
        <f aca="false">VLOOKUP(F237,De_Para!$B$2:$C$1500,2,0)</f>
        <v>30</v>
      </c>
    </row>
    <row r="238" customFormat="false" ht="15" hidden="false" customHeight="false" outlineLevel="0" collapsed="false">
      <c r="A238" s="11" t="n">
        <f aca="false">MONTH(B238)</f>
        <v>10</v>
      </c>
      <c r="B238" s="12" t="n">
        <v>45933.3087037037</v>
      </c>
      <c r="C238" s="7" t="s">
        <v>28</v>
      </c>
      <c r="D238" s="7" t="s">
        <v>29</v>
      </c>
      <c r="E238" s="13" t="n">
        <v>0.0485532407401479</v>
      </c>
      <c r="F238" s="7" t="str">
        <f aca="false">CONCATENATE(C238,"&gt;",D238)</f>
        <v>K28150&gt;K28170</v>
      </c>
      <c r="G238" s="7" t="n">
        <f aca="false">VLOOKUP(F238,De_Para!$B$2:$C$1500,2,0)</f>
        <v>20</v>
      </c>
    </row>
    <row r="239" customFormat="false" ht="15" hidden="false" customHeight="false" outlineLevel="0" collapsed="false">
      <c r="A239" s="11" t="n">
        <f aca="false">MONTH(B239)</f>
        <v>10</v>
      </c>
      <c r="B239" s="12" t="n">
        <v>45934.0894675926</v>
      </c>
      <c r="C239" s="7" t="s">
        <v>29</v>
      </c>
      <c r="D239" s="7" t="s">
        <v>1086</v>
      </c>
      <c r="E239" s="13" t="n">
        <v>0.0490625000020373</v>
      </c>
      <c r="F239" s="7" t="str">
        <f aca="false">CONCATENATE(C239,"&gt;",D239)</f>
        <v>K28170&gt;KKL195</v>
      </c>
      <c r="G239" s="7" t="n">
        <f aca="false">VLOOKUP(F239,De_Para!$B$2:$C$1500,2,0)</f>
        <v>100</v>
      </c>
    </row>
    <row r="240" customFormat="false" ht="15" hidden="false" customHeight="false" outlineLevel="0" collapsed="false">
      <c r="A240" s="11" t="n">
        <f aca="false">MONTH(B240)</f>
        <v>10</v>
      </c>
      <c r="B240" s="12" t="n">
        <v>45934.9392361111</v>
      </c>
      <c r="C240" s="7" t="s">
        <v>1086</v>
      </c>
      <c r="D240" s="7" t="s">
        <v>9</v>
      </c>
      <c r="E240" s="13" t="n">
        <v>0.0395254629620467</v>
      </c>
      <c r="F240" s="7" t="str">
        <f aca="false">CONCATENATE(C240,"&gt;",D240)</f>
        <v>KKL195&gt;KKL276</v>
      </c>
      <c r="G240" s="7" t="n">
        <f aca="false">VLOOKUP(F240,De_Para!$B$2:$C$1500,2,0)</f>
        <v>60</v>
      </c>
    </row>
    <row r="241" customFormat="false" ht="15" hidden="false" customHeight="false" outlineLevel="0" collapsed="false">
      <c r="A241" s="11" t="n">
        <f aca="false">MONTH(B241)</f>
        <v>10</v>
      </c>
      <c r="B241" s="12" t="n">
        <v>45935.3369675926</v>
      </c>
      <c r="C241" s="7" t="s">
        <v>9</v>
      </c>
      <c r="D241" s="7" t="s">
        <v>30</v>
      </c>
      <c r="E241" s="13" t="n">
        <v>0.0419444444487453</v>
      </c>
      <c r="F241" s="7" t="str">
        <f aca="false">CONCATENATE(C241,"&gt;",D241)</f>
        <v>KKL276&gt;K28200</v>
      </c>
      <c r="G241" s="7" t="n">
        <f aca="false">VLOOKUP(F241,De_Para!$B$2:$C$1500,2,0)</f>
        <v>120</v>
      </c>
    </row>
    <row r="242" customFormat="false" ht="15" hidden="false" customHeight="false" outlineLevel="0" collapsed="false">
      <c r="A242" s="11" t="n">
        <f aca="false">MONTH(B242)</f>
        <v>10</v>
      </c>
      <c r="B242" s="12" t="n">
        <v>45936.3219675926</v>
      </c>
      <c r="C242" s="7" t="s">
        <v>30</v>
      </c>
      <c r="D242" s="7" t="s">
        <v>1079</v>
      </c>
      <c r="E242" s="13" t="n">
        <v>0.0602430555591127</v>
      </c>
      <c r="F242" s="7" t="str">
        <f aca="false">CONCATENATE(C242,"&gt;",D242)</f>
        <v>K28200&gt;LLE150</v>
      </c>
      <c r="G242" s="7" t="n">
        <f aca="false">VLOOKUP(F242,De_Para!$B$2:$C$1500,2,0)</f>
        <v>60</v>
      </c>
    </row>
    <row r="243" customFormat="false" ht="15" hidden="false" customHeight="false" outlineLevel="0" collapsed="false">
      <c r="A243" s="11" t="n">
        <f aca="false">MONTH(B243)</f>
        <v>10</v>
      </c>
      <c r="B243" s="12" t="n">
        <v>45937.8288888889</v>
      </c>
      <c r="C243" s="7" t="s">
        <v>1079</v>
      </c>
      <c r="D243" s="7" t="s">
        <v>1118</v>
      </c>
      <c r="E243" s="13" t="n">
        <v>0.0432291666656965</v>
      </c>
      <c r="F243" s="7" t="str">
        <f aca="false">CONCATENATE(C243,"&gt;",D243)</f>
        <v>LLE150&gt;K28240</v>
      </c>
      <c r="G243" s="7" t="n">
        <f aca="false">VLOOKUP(F243,De_Para!$B$2:$C$1500,2,0)</f>
        <v>60</v>
      </c>
    </row>
    <row r="244" customFormat="false" ht="15" hidden="false" customHeight="false" outlineLevel="0" collapsed="false">
      <c r="A244" s="11" t="n">
        <f aca="false">MONTH(B244)</f>
        <v>10</v>
      </c>
      <c r="B244" s="12" t="n">
        <v>45938.3932291667</v>
      </c>
      <c r="C244" s="7" t="s">
        <v>1118</v>
      </c>
      <c r="D244" s="7" t="s">
        <v>1119</v>
      </c>
      <c r="E244" s="13" t="n">
        <v>0.0400925925932825</v>
      </c>
      <c r="F244" s="7" t="str">
        <f aca="false">CONCATENATE(C244,"&gt;",D244)</f>
        <v>K28240&gt;K28280</v>
      </c>
      <c r="G244" s="7" t="n">
        <f aca="false">VLOOKUP(F244,De_Para!$B$2:$C$1500,2,0)</f>
        <v>50</v>
      </c>
    </row>
    <row r="245" customFormat="false" ht="15" hidden="false" customHeight="false" outlineLevel="0" collapsed="false">
      <c r="A245" s="11" t="n">
        <f aca="false">MONTH(B245)</f>
        <v>10</v>
      </c>
      <c r="B245" s="12" t="n">
        <v>45938.4162731482</v>
      </c>
      <c r="C245" s="7" t="s">
        <v>1120</v>
      </c>
      <c r="D245" s="7" t="s">
        <v>1119</v>
      </c>
      <c r="E245" s="13" t="n">
        <v>0.0230439814840793</v>
      </c>
      <c r="F245" s="7" t="str">
        <f aca="false">CONCATENATE(C245,"&gt;",D245)</f>
        <v>LLE240&gt;K28280</v>
      </c>
      <c r="G245" s="7" t="n">
        <f aca="false">VLOOKUP(F245,De_Para!$B$2:$C$1500,2,0)</f>
        <v>60</v>
      </c>
    </row>
    <row r="246" customFormat="false" ht="15" hidden="false" customHeight="false" outlineLevel="0" collapsed="false">
      <c r="A246" s="11" t="n">
        <f aca="false">MONTH(B246)</f>
        <v>10</v>
      </c>
      <c r="B246" s="12" t="n">
        <v>45938.8050925926</v>
      </c>
      <c r="C246" s="7" t="s">
        <v>1119</v>
      </c>
      <c r="D246" s="7" t="s">
        <v>1126</v>
      </c>
      <c r="E246" s="13" t="n">
        <v>0.0451388888905058</v>
      </c>
      <c r="F246" s="7" t="str">
        <f aca="false">CONCATENATE(C246,"&gt;",D246)</f>
        <v>K28280&gt;LBS170</v>
      </c>
      <c r="G246" s="7" t="n">
        <f aca="false">VLOOKUP(F246,De_Para!$B$2:$C$1500,2,0)</f>
        <v>60</v>
      </c>
    </row>
    <row r="247" customFormat="false" ht="15" hidden="false" customHeight="false" outlineLevel="0" collapsed="false">
      <c r="A247" s="11" t="n">
        <f aca="false">MONTH(B247)</f>
        <v>10</v>
      </c>
      <c r="B247" s="12" t="n">
        <v>45942.1182407407</v>
      </c>
      <c r="C247" s="7" t="s">
        <v>1126</v>
      </c>
      <c r="D247" s="7" t="s">
        <v>29</v>
      </c>
      <c r="E247" s="13" t="n">
        <v>0.0405208333322662</v>
      </c>
      <c r="F247" s="7" t="str">
        <f aca="false">CONCATENATE(C247,"&gt;",D247)</f>
        <v>LBS170&gt;K28170</v>
      </c>
      <c r="G247" s="7" t="n">
        <f aca="false">VLOOKUP(F247,De_Para!$B$2:$C$1500,2,0)</f>
        <v>0</v>
      </c>
    </row>
    <row r="248" customFormat="false" ht="15" hidden="false" customHeight="false" outlineLevel="0" collapsed="false">
      <c r="A248" s="11" t="n">
        <f aca="false">MONTH(B248)</f>
        <v>10</v>
      </c>
      <c r="B248" s="12" t="n">
        <v>45942.2534837963</v>
      </c>
      <c r="C248" s="7" t="s">
        <v>29</v>
      </c>
      <c r="D248" s="7" t="s">
        <v>28</v>
      </c>
      <c r="E248" s="13" t="n">
        <v>0.0133796296286164</v>
      </c>
      <c r="F248" s="7" t="str">
        <f aca="false">CONCATENATE(C248,"&gt;",D248)</f>
        <v>K28170&gt;K28150</v>
      </c>
      <c r="G248" s="7" t="n">
        <f aca="false">VLOOKUP(F248,De_Para!$B$2:$C$1500,2,0)</f>
        <v>20</v>
      </c>
    </row>
    <row r="249" customFormat="false" ht="15" hidden="false" customHeight="false" outlineLevel="0" collapsed="false">
      <c r="A249" s="11" t="n">
        <f aca="false">MONTH(B249)</f>
        <v>10</v>
      </c>
      <c r="B249" s="12" t="n">
        <v>45943.3666550926</v>
      </c>
      <c r="C249" s="7" t="s">
        <v>28</v>
      </c>
      <c r="D249" s="7" t="s">
        <v>1118</v>
      </c>
      <c r="E249" s="13" t="n">
        <v>0.0389467592613073</v>
      </c>
      <c r="F249" s="7" t="str">
        <f aca="false">CONCATENATE(C249,"&gt;",D249)</f>
        <v>K28150&gt;K28240</v>
      </c>
      <c r="G249" s="7" t="n">
        <f aca="false">VLOOKUP(F249,De_Para!$B$2:$C$1500,2,0)</f>
        <v>60</v>
      </c>
    </row>
    <row r="250" customFormat="false" ht="15" hidden="false" customHeight="false" outlineLevel="0" collapsed="false">
      <c r="A250" s="11" t="n">
        <f aca="false">MONTH(B250)</f>
        <v>10</v>
      </c>
      <c r="B250" s="12" t="n">
        <v>45943.7498726852</v>
      </c>
      <c r="C250" s="7" t="s">
        <v>1118</v>
      </c>
      <c r="D250" s="7" t="s">
        <v>30</v>
      </c>
      <c r="E250" s="13" t="n">
        <v>0.0416666666642414</v>
      </c>
      <c r="F250" s="7" t="str">
        <f aca="false">CONCATENATE(C250,"&gt;",D250)</f>
        <v>K28240&gt;K28200</v>
      </c>
      <c r="G250" s="7" t="n">
        <f aca="false">VLOOKUP(F250,De_Para!$B$2:$C$1500,2,0)</f>
        <v>60</v>
      </c>
    </row>
    <row r="251" customFormat="false" ht="15" hidden="false" customHeight="false" outlineLevel="0" collapsed="false">
      <c r="A251" s="11" t="n">
        <f aca="false">MONTH(B251)</f>
        <v>10</v>
      </c>
      <c r="B251" s="12" t="n">
        <v>45943.9904976852</v>
      </c>
      <c r="C251" s="7" t="s">
        <v>30</v>
      </c>
      <c r="D251" s="7" t="s">
        <v>1085</v>
      </c>
      <c r="E251" s="13" t="n">
        <v>0.0473495370315504</v>
      </c>
      <c r="F251" s="7" t="str">
        <f aca="false">CONCATENATE(C251,"&gt;",D251)</f>
        <v>K28200&gt;EKW200</v>
      </c>
      <c r="G251" s="7" t="n">
        <f aca="false">VLOOKUP(F251,De_Para!$B$2:$C$1500,2,0)</f>
        <v>120</v>
      </c>
    </row>
    <row r="252" customFormat="false" ht="15" hidden="false" customHeight="false" outlineLevel="0" collapsed="false">
      <c r="A252" s="11" t="n">
        <f aca="false">MONTH(B252)</f>
        <v>10</v>
      </c>
      <c r="B252" s="12" t="n">
        <v>45945.0885069444</v>
      </c>
      <c r="C252" s="7" t="s">
        <v>1085</v>
      </c>
      <c r="D252" s="7" t="s">
        <v>34</v>
      </c>
      <c r="E252" s="13" t="n">
        <v>0.0360532407357823</v>
      </c>
      <c r="F252" s="7" t="str">
        <f aca="false">CONCATENATE(C252,"&gt;",D252)</f>
        <v>EKW200&gt;EKW175</v>
      </c>
      <c r="G252" s="7" t="n">
        <f aca="false">VLOOKUP(F252,De_Para!$B$2:$C$1500,2,0)</f>
        <v>50</v>
      </c>
    </row>
    <row r="253" customFormat="false" ht="15" hidden="false" customHeight="false" outlineLevel="0" collapsed="false">
      <c r="A253" s="11" t="n">
        <f aca="false">MONTH(B253)</f>
        <v>10</v>
      </c>
      <c r="B253" s="12" t="n">
        <v>45946.5372800926</v>
      </c>
      <c r="C253" s="7" t="s">
        <v>34</v>
      </c>
      <c r="D253" s="7" t="s">
        <v>25</v>
      </c>
      <c r="E253" s="13" t="n">
        <v>0.0728009259255487</v>
      </c>
      <c r="F253" s="7" t="str">
        <f aca="false">CONCATENATE(C253,"&gt;",D253)</f>
        <v>EKW175&gt;EWP190</v>
      </c>
      <c r="G253" s="7" t="n">
        <f aca="false">VLOOKUP(F253,De_Para!$B$2:$C$1500,2,0)</f>
        <v>50</v>
      </c>
    </row>
    <row r="254" customFormat="false" ht="15" hidden="false" customHeight="false" outlineLevel="0" collapsed="false">
      <c r="A254" s="11" t="n">
        <f aca="false">MONTH(B254)</f>
        <v>10</v>
      </c>
      <c r="B254" s="12" t="n">
        <v>45947.5197800926</v>
      </c>
      <c r="C254" s="7" t="s">
        <v>25</v>
      </c>
      <c r="D254" s="7" t="s">
        <v>11</v>
      </c>
      <c r="E254" s="13" t="n">
        <v>0.0401041666700621</v>
      </c>
      <c r="F254" s="7" t="str">
        <f aca="false">CONCATENATE(C254,"&gt;",D254)</f>
        <v>EWP190&gt;CHD318</v>
      </c>
      <c r="G254" s="7" t="n">
        <f aca="false">VLOOKUP(F254,De_Para!$B$2:$C$1500,2,0)</f>
        <v>60</v>
      </c>
    </row>
    <row r="255" customFormat="false" ht="15" hidden="false" customHeight="false" outlineLevel="0" collapsed="false">
      <c r="A255" s="11" t="n">
        <f aca="false">MONTH(B255)</f>
        <v>10</v>
      </c>
      <c r="B255" s="12" t="n">
        <v>45948.416412037</v>
      </c>
      <c r="C255" s="7" t="s">
        <v>11</v>
      </c>
      <c r="D255" s="7" t="s">
        <v>1116</v>
      </c>
      <c r="E255" s="13" t="n">
        <v>0.0384259259299142</v>
      </c>
      <c r="F255" s="7" t="str">
        <f aca="false">CONCATENATE(C255,"&gt;",D255)</f>
        <v>CHD318&gt;WTP300</v>
      </c>
      <c r="G255" s="7" t="n">
        <f aca="false">VLOOKUP(F255,De_Para!$B$2:$C$1500,2,0)</f>
        <v>240</v>
      </c>
    </row>
    <row r="256" customFormat="false" ht="15" hidden="false" customHeight="false" outlineLevel="0" collapsed="false">
      <c r="A256" s="11" t="n">
        <f aca="false">MONTH(B256)</f>
        <v>10</v>
      </c>
      <c r="B256" s="12" t="n">
        <v>45948.7476041667</v>
      </c>
      <c r="C256" s="7" t="s">
        <v>1116</v>
      </c>
      <c r="D256" s="7" t="s">
        <v>1092</v>
      </c>
      <c r="E256" s="13" t="n">
        <v>0.0352430555576575</v>
      </c>
      <c r="F256" s="7" t="str">
        <f aca="false">CONCATENATE(C256,"&gt;",D256)</f>
        <v>WTP300&gt;WTP265</v>
      </c>
      <c r="G256" s="7" t="n">
        <f aca="false">VLOOKUP(F256,De_Para!$B$2:$C$1500,2,0)</f>
        <v>60</v>
      </c>
    </row>
    <row r="257" customFormat="false" ht="15" hidden="false" customHeight="false" outlineLevel="0" collapsed="false">
      <c r="A257" s="11" t="n">
        <f aca="false">MONTH(B257)</f>
        <v>10</v>
      </c>
      <c r="B257" s="12" t="n">
        <v>45949.2698148148</v>
      </c>
      <c r="C257" s="7" t="s">
        <v>1092</v>
      </c>
      <c r="D257" s="7" t="s">
        <v>1113</v>
      </c>
      <c r="E257" s="13" t="n">
        <v>0.023090277776646</v>
      </c>
      <c r="F257" s="7" t="str">
        <f aca="false">CONCATENATE(C257,"&gt;",D257)</f>
        <v>WTP265&gt;WTP235</v>
      </c>
      <c r="G257" s="7" t="n">
        <f aca="false">VLOOKUP(F257,De_Para!$B$2:$C$1500,2,0)</f>
        <v>60</v>
      </c>
    </row>
    <row r="258" customFormat="false" ht="15" hidden="false" customHeight="false" outlineLevel="0" collapsed="false">
      <c r="A258" s="11" t="n">
        <f aca="false">MONTH(B258)</f>
        <v>10</v>
      </c>
      <c r="B258" s="12" t="n">
        <v>45949.8797106482</v>
      </c>
      <c r="C258" s="7" t="s">
        <v>1113</v>
      </c>
      <c r="D258" s="7" t="s">
        <v>11</v>
      </c>
      <c r="E258" s="13" t="n">
        <v>0.03668981482042</v>
      </c>
      <c r="F258" s="7" t="str">
        <f aca="false">CONCATENATE(C258,"&gt;",D258)</f>
        <v>WTP235&gt;CHD318</v>
      </c>
      <c r="G258" s="7" t="n">
        <f aca="false">VLOOKUP(F258,De_Para!$B$2:$C$1500,2,0)</f>
        <v>240</v>
      </c>
    </row>
    <row r="259" customFormat="false" ht="15" hidden="false" customHeight="false" outlineLevel="0" collapsed="false">
      <c r="A259" s="11" t="n">
        <f aca="false">MONTH(B259)</f>
        <v>10</v>
      </c>
      <c r="B259" s="12" t="n">
        <v>45955.1554861111</v>
      </c>
      <c r="C259" s="7" t="s">
        <v>11</v>
      </c>
      <c r="D259" s="7" t="s">
        <v>30</v>
      </c>
      <c r="E259" s="13" t="n">
        <v>0.138993055559695</v>
      </c>
      <c r="F259" s="7" t="str">
        <f aca="false">CONCATENATE(C259,"&gt;",D259)</f>
        <v>CHD318&gt;K28200</v>
      </c>
      <c r="G259" s="7" t="n">
        <f aca="false">VLOOKUP(F259,De_Para!$B$2:$C$1500,2,0)</f>
        <v>100</v>
      </c>
    </row>
    <row r="260" customFormat="false" ht="15" hidden="false" customHeight="false" outlineLevel="0" collapsed="false">
      <c r="A260" s="11" t="n">
        <f aca="false">MONTH(B260)</f>
        <v>10</v>
      </c>
      <c r="B260" s="12" t="n">
        <v>45956.6519907407</v>
      </c>
      <c r="C260" s="7" t="s">
        <v>30</v>
      </c>
      <c r="D260" s="7" t="s">
        <v>29</v>
      </c>
      <c r="E260" s="13" t="n">
        <v>0.0392245370385353</v>
      </c>
      <c r="F260" s="7" t="str">
        <f aca="false">CONCATENATE(C260,"&gt;",D260)</f>
        <v>K28200&gt;K28170</v>
      </c>
      <c r="G260" s="7" t="n">
        <f aca="false">VLOOKUP(F260,De_Para!$B$2:$C$1500,2,0)</f>
        <v>15</v>
      </c>
    </row>
    <row r="261" customFormat="false" ht="15" hidden="false" customHeight="false" outlineLevel="0" collapsed="false">
      <c r="A261" s="11" t="n">
        <f aca="false">MONTH(B261)</f>
        <v>10</v>
      </c>
      <c r="B261" s="12" t="n">
        <v>45957.4421990741</v>
      </c>
      <c r="C261" s="7" t="s">
        <v>29</v>
      </c>
      <c r="D261" s="7" t="s">
        <v>1126</v>
      </c>
      <c r="E261" s="13" t="n">
        <v>0.0379513888910878</v>
      </c>
      <c r="F261" s="7" t="str">
        <f aca="false">CONCATENATE(C261,"&gt;",D261)</f>
        <v>K28170&gt;LBS170</v>
      </c>
      <c r="G261" s="7" t="n">
        <f aca="false">VLOOKUP(F261,De_Para!$B$2:$C$1500,2,0)</f>
        <v>0</v>
      </c>
    </row>
    <row r="262" customFormat="false" ht="15" hidden="false" customHeight="false" outlineLevel="0" collapsed="false">
      <c r="A262" s="11" t="n">
        <f aca="false">MONTH(B262)</f>
        <v>10</v>
      </c>
      <c r="B262" s="12" t="n">
        <v>45958.7539351852</v>
      </c>
      <c r="C262" s="7" t="s">
        <v>1126</v>
      </c>
      <c r="D262" s="7" t="s">
        <v>28</v>
      </c>
      <c r="E262" s="13" t="n">
        <v>0.0450810185211594</v>
      </c>
      <c r="F262" s="7" t="str">
        <f aca="false">CONCATENATE(C262,"&gt;",D262)</f>
        <v>LBS170&gt;K28150</v>
      </c>
      <c r="G262" s="7" t="n">
        <f aca="false">VLOOKUP(F262,De_Para!$B$2:$C$1500,2,0)</f>
        <v>60</v>
      </c>
    </row>
    <row r="263" customFormat="false" ht="15" hidden="false" customHeight="false" outlineLevel="0" collapsed="false">
      <c r="A263" s="11" t="n">
        <f aca="false">MONTH(B263)</f>
        <v>10</v>
      </c>
      <c r="B263" s="12" t="n">
        <v>45960.3724305556</v>
      </c>
      <c r="C263" s="7" t="s">
        <v>28</v>
      </c>
      <c r="D263" s="7" t="s">
        <v>1126</v>
      </c>
      <c r="E263" s="13" t="n">
        <v>0.0425925925956108</v>
      </c>
      <c r="F263" s="7" t="str">
        <f aca="false">CONCATENATE(C263,"&gt;",D263)</f>
        <v>K28150&gt;LBS170</v>
      </c>
      <c r="G263" s="7" t="n">
        <f aca="false">VLOOKUP(F263,De_Para!$B$2:$C$1500,2,0)</f>
        <v>60</v>
      </c>
    </row>
    <row r="264" customFormat="false" ht="15" hidden="false" customHeight="false" outlineLevel="0" collapsed="false">
      <c r="A264" s="11" t="n">
        <f aca="false">MONTH(B264)</f>
        <v>11</v>
      </c>
      <c r="B264" s="12" t="n">
        <v>45963.1362847222</v>
      </c>
      <c r="C264" s="7" t="s">
        <v>1126</v>
      </c>
      <c r="D264" s="7" t="s">
        <v>30</v>
      </c>
      <c r="E264" s="13" t="n">
        <v>0.0192129629576812</v>
      </c>
      <c r="F264" s="7" t="str">
        <f aca="false">CONCATENATE(C264,"&gt;",D264)</f>
        <v>LBS170&gt;K28200</v>
      </c>
      <c r="G264" s="7" t="n">
        <f aca="false">VLOOKUP(F264,De_Para!$B$2:$C$1500,2,0)</f>
        <v>60</v>
      </c>
    </row>
    <row r="265" customFormat="false" ht="15" hidden="false" customHeight="false" outlineLevel="0" collapsed="false">
      <c r="A265" s="11" t="n">
        <f aca="false">MONTH(B265)</f>
        <v>11</v>
      </c>
      <c r="B265" s="12" t="n">
        <v>45983.8867476852</v>
      </c>
      <c r="C265" s="7" t="s">
        <v>30</v>
      </c>
      <c r="D265" s="7" t="s">
        <v>29</v>
      </c>
      <c r="E265" s="13" t="n">
        <v>0.0420717592642177</v>
      </c>
      <c r="F265" s="7" t="str">
        <f aca="false">CONCATENATE(C265,"&gt;",D265)</f>
        <v>K28200&gt;K28170</v>
      </c>
      <c r="G265" s="7" t="n">
        <f aca="false">VLOOKUP(F265,De_Para!$B$2:$C$1500,2,0)</f>
        <v>15</v>
      </c>
    </row>
    <row r="266" customFormat="false" ht="15" hidden="false" customHeight="false" outlineLevel="0" collapsed="false">
      <c r="A266" s="11" t="n">
        <f aca="false">MONTH(B266)</f>
        <v>11</v>
      </c>
      <c r="B266" s="12" t="n">
        <v>45984.346875</v>
      </c>
      <c r="C266" s="7" t="s">
        <v>29</v>
      </c>
      <c r="D266" s="7" t="s">
        <v>1126</v>
      </c>
      <c r="E266" s="13" t="n">
        <v>0.0418402777795563</v>
      </c>
      <c r="F266" s="7" t="str">
        <f aca="false">CONCATENATE(C266,"&gt;",D266)</f>
        <v>K28170&gt;LBS170</v>
      </c>
      <c r="G266" s="7" t="n">
        <f aca="false">VLOOKUP(F266,De_Para!$B$2:$C$1500,2,0)</f>
        <v>0</v>
      </c>
    </row>
    <row r="267" customFormat="false" ht="15" hidden="false" customHeight="false" outlineLevel="0" collapsed="false">
      <c r="A267" s="11" t="n">
        <f aca="false">MONTH(B267)</f>
        <v>11</v>
      </c>
      <c r="B267" s="12" t="n">
        <v>45984.822974537</v>
      </c>
      <c r="C267" s="7" t="s">
        <v>1126</v>
      </c>
      <c r="D267" s="7" t="s">
        <v>28</v>
      </c>
      <c r="E267" s="13" t="n">
        <v>0.0452546296291985</v>
      </c>
      <c r="F267" s="7" t="str">
        <f aca="false">CONCATENATE(C267,"&gt;",D267)</f>
        <v>LBS170&gt;K28150</v>
      </c>
      <c r="G267" s="7" t="n">
        <f aca="false">VLOOKUP(F267,De_Para!$B$2:$C$1500,2,0)</f>
        <v>60</v>
      </c>
    </row>
    <row r="268" customFormat="false" ht="15" hidden="false" customHeight="false" outlineLevel="0" collapsed="false">
      <c r="A268" s="11" t="n">
        <f aca="false">MONTH(B268)</f>
        <v>11</v>
      </c>
      <c r="B268" s="12" t="n">
        <v>45988.0441435185</v>
      </c>
      <c r="C268" s="7" t="s">
        <v>28</v>
      </c>
      <c r="D268" s="7" t="s">
        <v>29</v>
      </c>
      <c r="E268" s="13" t="n">
        <v>0.0197800925961928</v>
      </c>
      <c r="F268" s="7" t="str">
        <f aca="false">CONCATENATE(C268,"&gt;",D268)</f>
        <v>K28150&gt;K28170</v>
      </c>
      <c r="G268" s="7" t="n">
        <f aca="false">VLOOKUP(F268,De_Para!$B$2:$C$1500,2,0)</f>
        <v>20</v>
      </c>
    </row>
    <row r="269" customFormat="false" ht="15" hidden="false" customHeight="false" outlineLevel="0" collapsed="false">
      <c r="A269" s="11" t="n">
        <f aca="false">MONTH(B269)</f>
        <v>11</v>
      </c>
      <c r="B269" s="12" t="n">
        <v>45988.2872685185</v>
      </c>
      <c r="C269" s="7" t="s">
        <v>29</v>
      </c>
      <c r="D269" s="7" t="s">
        <v>1126</v>
      </c>
      <c r="E269" s="13" t="n">
        <v>0.0396990740773617</v>
      </c>
      <c r="F269" s="7" t="str">
        <f aca="false">CONCATENATE(C269,"&gt;",D269)</f>
        <v>K28170&gt;LBS170</v>
      </c>
      <c r="G269" s="7" t="n">
        <f aca="false">VLOOKUP(F269,De_Para!$B$2:$C$1500,2,0)</f>
        <v>0</v>
      </c>
    </row>
    <row r="270" customFormat="false" ht="15" hidden="false" customHeight="false" outlineLevel="0" collapsed="false">
      <c r="A270" s="11" t="n">
        <f aca="false">MONTH(B270)</f>
        <v>11</v>
      </c>
      <c r="B270" s="12" t="n">
        <v>45988.4871064815</v>
      </c>
      <c r="C270" s="7" t="s">
        <v>1126</v>
      </c>
      <c r="D270" s="7" t="s">
        <v>1118</v>
      </c>
      <c r="E270" s="13" t="n">
        <v>0.0402314814782585</v>
      </c>
      <c r="F270" s="7" t="str">
        <f aca="false">CONCATENATE(C270,"&gt;",D270)</f>
        <v>LBS170&gt;K28240</v>
      </c>
      <c r="G270" s="7" t="n">
        <f aca="false">VLOOKUP(F270,De_Para!$B$2:$C$1500,2,0)</f>
        <v>60</v>
      </c>
    </row>
    <row r="271" customFormat="false" ht="15" hidden="false" customHeight="false" outlineLevel="0" collapsed="false">
      <c r="A271" s="11" t="n">
        <f aca="false">MONTH(B271)</f>
        <v>11</v>
      </c>
      <c r="B271" s="12" t="n">
        <v>45989.0453356481</v>
      </c>
      <c r="C271" s="7" t="s">
        <v>1118</v>
      </c>
      <c r="D271" s="7" t="s">
        <v>1119</v>
      </c>
      <c r="E271" s="13" t="n">
        <v>0.122974537036498</v>
      </c>
      <c r="F271" s="7" t="str">
        <f aca="false">CONCATENATE(C271,"&gt;",D271)</f>
        <v>K28240&gt;K28280</v>
      </c>
      <c r="G271" s="7" t="n">
        <f aca="false">VLOOKUP(F271,De_Para!$B$2:$C$1500,2,0)</f>
        <v>50</v>
      </c>
    </row>
    <row r="272" customFormat="false" ht="15" hidden="false" customHeight="false" outlineLevel="0" collapsed="false">
      <c r="A272" s="11" t="n">
        <f aca="false">MONTH(B272)</f>
        <v>11</v>
      </c>
      <c r="B272" s="12" t="n">
        <v>45989.6054861111</v>
      </c>
      <c r="C272" s="7" t="s">
        <v>1119</v>
      </c>
      <c r="D272" s="7" t="s">
        <v>1127</v>
      </c>
      <c r="E272" s="13" t="n">
        <v>0.0379050925912452</v>
      </c>
      <c r="F272" s="7" t="str">
        <f aca="false">CONCATENATE(C272,"&gt;",D272)</f>
        <v>K28280&gt;K28320</v>
      </c>
      <c r="G272" s="7" t="n">
        <f aca="false">VLOOKUP(F272,De_Para!$B$2:$C$1500,2,0)</f>
        <v>60</v>
      </c>
    </row>
    <row r="273" customFormat="false" ht="15" hidden="false" customHeight="false" outlineLevel="0" collapsed="false">
      <c r="A273" s="11" t="n">
        <f aca="false">MONTH(B273)</f>
        <v>11</v>
      </c>
      <c r="B273" s="12" t="n">
        <v>45990.5118287037</v>
      </c>
      <c r="C273" s="7" t="s">
        <v>1127</v>
      </c>
      <c r="D273" s="7" t="s">
        <v>30</v>
      </c>
      <c r="E273" s="13" t="n">
        <v>0.267615740740439</v>
      </c>
      <c r="F273" s="7" t="str">
        <f aca="false">CONCATENATE(C273,"&gt;",D273)</f>
        <v>K28320&gt;K28200</v>
      </c>
      <c r="G273" s="7" t="n">
        <f aca="false">VLOOKUP(F273,De_Para!$B$2:$C$1500,2,0)</f>
        <v>60</v>
      </c>
    </row>
    <row r="274" customFormat="false" ht="15" hidden="false" customHeight="false" outlineLevel="0" collapsed="false">
      <c r="A274" s="11" t="n">
        <f aca="false">MONTH(B274)</f>
        <v>11</v>
      </c>
      <c r="B274" s="12" t="n">
        <v>45991.5319907407</v>
      </c>
      <c r="C274" s="7" t="s">
        <v>30</v>
      </c>
      <c r="D274" s="7" t="s">
        <v>17</v>
      </c>
      <c r="E274" s="13" t="n">
        <v>0.0421180555567844</v>
      </c>
      <c r="F274" s="7" t="str">
        <f aca="false">CONCATENATE(C274,"&gt;",D274)</f>
        <v>K28200&gt;CKF233</v>
      </c>
      <c r="G274" s="7" t="n">
        <f aca="false">VLOOKUP(F274,De_Para!$B$2:$C$1500,2,0)</f>
        <v>90</v>
      </c>
    </row>
    <row r="275" customFormat="false" ht="15" hidden="false" customHeight="false" outlineLevel="0" collapsed="false">
      <c r="A275" s="11" t="n">
        <f aca="false">MONTH(B275)</f>
        <v>12</v>
      </c>
      <c r="B275" s="12" t="n">
        <v>45992.800150463</v>
      </c>
      <c r="C275" s="7" t="s">
        <v>17</v>
      </c>
      <c r="D275" s="7" t="s">
        <v>1128</v>
      </c>
      <c r="E275" s="13" t="n">
        <v>0.502430555556202</v>
      </c>
      <c r="F275" s="7" t="str">
        <f aca="false">CONCATENATE(C275,"&gt;",D275)</f>
        <v>CKF233&gt;KKL200</v>
      </c>
      <c r="G275" s="7" t="n">
        <f aca="false">VLOOKUP(F275,De_Para!$B$2:$C$1500,2,0)</f>
        <v>60</v>
      </c>
    </row>
    <row r="276" customFormat="false" ht="15" hidden="false" customHeight="false" outlineLevel="0" collapsed="false">
      <c r="A276" s="11" t="n">
        <f aca="false">MONTH(B276)</f>
        <v>12</v>
      </c>
      <c r="B276" s="12" t="n">
        <v>45995.5059143519</v>
      </c>
      <c r="C276" s="7" t="s">
        <v>1128</v>
      </c>
      <c r="D276" s="7" t="s">
        <v>34</v>
      </c>
      <c r="E276" s="13" t="n">
        <v>0.0432291666656965</v>
      </c>
      <c r="F276" s="7" t="str">
        <f aca="false">CONCATENATE(C276,"&gt;",D276)</f>
        <v>KKL200&gt;EKW175</v>
      </c>
      <c r="G276" s="7" t="n">
        <f aca="false">VLOOKUP(F276,De_Para!$B$2:$C$1500,2,0)</f>
        <v>60</v>
      </c>
    </row>
    <row r="277" customFormat="false" ht="15" hidden="false" customHeight="false" outlineLevel="0" collapsed="false">
      <c r="A277" s="11" t="n">
        <f aca="false">MONTH(B277)</f>
        <v>12</v>
      </c>
      <c r="B277" s="12" t="n">
        <v>45997.5985763889</v>
      </c>
      <c r="C277" s="7" t="s">
        <v>34</v>
      </c>
      <c r="D277" s="7" t="s">
        <v>1085</v>
      </c>
      <c r="E277" s="13" t="n">
        <v>0.258506944446708</v>
      </c>
      <c r="F277" s="7" t="str">
        <f aca="false">CONCATENATE(C277,"&gt;",D277)</f>
        <v>EKW175&gt;EKW200</v>
      </c>
      <c r="G277" s="7" t="n">
        <f aca="false">VLOOKUP(F277,De_Para!$B$2:$C$1500,2,0)</f>
        <v>50</v>
      </c>
    </row>
    <row r="278" customFormat="false" ht="15" hidden="false" customHeight="false" outlineLevel="0" collapsed="false">
      <c r="A278" s="11" t="n">
        <f aca="false">MONTH(B278)</f>
        <v>12</v>
      </c>
      <c r="B278" s="12" t="n">
        <v>45997.9779976852</v>
      </c>
      <c r="C278" s="7" t="s">
        <v>1085</v>
      </c>
      <c r="D278" s="7" t="s">
        <v>34</v>
      </c>
      <c r="E278" s="13" t="n">
        <v>0.0531249999985448</v>
      </c>
      <c r="F278" s="7" t="str">
        <f aca="false">CONCATENATE(C278,"&gt;",D278)</f>
        <v>EKW200&gt;EKW175</v>
      </c>
      <c r="G278" s="7" t="n">
        <f aca="false">VLOOKUP(F278,De_Para!$B$2:$C$1500,2,0)</f>
        <v>50</v>
      </c>
    </row>
    <row r="279" customFormat="false" ht="15" hidden="false" customHeight="false" outlineLevel="0" collapsed="false">
      <c r="A279" s="11" t="n">
        <f aca="false">MONTH(B279)</f>
        <v>12</v>
      </c>
      <c r="B279" s="12" t="n">
        <v>45998.0751157407</v>
      </c>
      <c r="C279" s="7" t="s">
        <v>34</v>
      </c>
      <c r="D279" s="7" t="s">
        <v>11</v>
      </c>
      <c r="E279" s="13" t="n">
        <v>0.044224537035916</v>
      </c>
      <c r="F279" s="7" t="str">
        <f aca="false">CONCATENATE(C279,"&gt;",D279)</f>
        <v>EKW175&gt;CHD318</v>
      </c>
      <c r="G279" s="7" t="n">
        <f aca="false">VLOOKUP(F279,De_Para!$B$2:$C$1500,2,0)</f>
        <v>90</v>
      </c>
    </row>
    <row r="280" customFormat="false" ht="15" hidden="false" customHeight="false" outlineLevel="0" collapsed="false">
      <c r="A280" s="11" t="n">
        <f aca="false">MONTH(B280)</f>
        <v>12</v>
      </c>
      <c r="B280" s="12" t="n">
        <v>46001.4128356481</v>
      </c>
      <c r="C280" s="7" t="s">
        <v>11</v>
      </c>
      <c r="D280" s="7" t="s">
        <v>1085</v>
      </c>
      <c r="E280" s="13" t="n">
        <v>0.211354166662204</v>
      </c>
      <c r="F280" s="7" t="str">
        <f aca="false">CONCATENATE(C280,"&gt;",D280)</f>
        <v>CHD318&gt;EKW200</v>
      </c>
      <c r="G280" s="7" t="n">
        <f aca="false">VLOOKUP(F280,De_Para!$B$2:$C$1500,2,0)</f>
        <v>120</v>
      </c>
    </row>
    <row r="281" customFormat="false" ht="15" hidden="false" customHeight="false" outlineLevel="0" collapsed="false">
      <c r="A281" s="11" t="n">
        <f aca="false">MONTH(B281)</f>
        <v>12</v>
      </c>
      <c r="B281" s="12" t="n">
        <v>46002.5020833333</v>
      </c>
      <c r="C281" s="7" t="s">
        <v>1085</v>
      </c>
      <c r="D281" s="7" t="s">
        <v>34</v>
      </c>
      <c r="E281" s="13" t="n">
        <v>0.0479166666627862</v>
      </c>
      <c r="F281" s="7" t="str">
        <f aca="false">CONCATENATE(C281,"&gt;",D281)</f>
        <v>EKW200&gt;EKW175</v>
      </c>
      <c r="G281" s="7" t="n">
        <f aca="false">VLOOKUP(F281,De_Para!$B$2:$C$1500,2,0)</f>
        <v>50</v>
      </c>
    </row>
    <row r="282" customFormat="false" ht="15" hidden="false" customHeight="false" outlineLevel="0" collapsed="false">
      <c r="A282" s="11" t="n">
        <f aca="false">MONTH(B282)</f>
        <v>12</v>
      </c>
      <c r="B282" s="12" t="n">
        <v>46003.6837615741</v>
      </c>
      <c r="C282" s="7" t="s">
        <v>34</v>
      </c>
      <c r="D282" s="7" t="s">
        <v>17</v>
      </c>
      <c r="E282" s="13" t="n">
        <v>0.0475694444467081</v>
      </c>
      <c r="F282" s="7" t="str">
        <f aca="false">CONCATENATE(C282,"&gt;",D282)</f>
        <v>EKW175&gt;CKF233</v>
      </c>
      <c r="G282" s="7" t="n">
        <f aca="false">VLOOKUP(F282,De_Para!$B$2:$C$1500,2,0)</f>
        <v>80</v>
      </c>
    </row>
    <row r="283" customFormat="false" ht="15" hidden="false" customHeight="false" outlineLevel="0" collapsed="false">
      <c r="A283" s="11" t="n">
        <f aca="false">MONTH(B283)</f>
        <v>12</v>
      </c>
      <c r="B283" s="12" t="n">
        <v>46004.0142592593</v>
      </c>
      <c r="C283" s="7" t="s">
        <v>17</v>
      </c>
      <c r="D283" s="7" t="s">
        <v>1085</v>
      </c>
      <c r="E283" s="13" t="n">
        <v>0.151793981480296</v>
      </c>
      <c r="F283" s="7" t="str">
        <f aca="false">CONCATENATE(C283,"&gt;",D283)</f>
        <v>CKF233&gt;EKW200</v>
      </c>
      <c r="G283" s="7" t="n">
        <f aca="false">VLOOKUP(F283,De_Para!$B$2:$C$1500,2,0)</f>
        <v>80</v>
      </c>
    </row>
    <row r="284" customFormat="false" ht="15" hidden="false" customHeight="false" outlineLevel="0" collapsed="false">
      <c r="A284" s="11" t="n">
        <f aca="false">MONTH(B284)</f>
        <v>12</v>
      </c>
      <c r="B284" s="12" t="n">
        <v>46004.0611226852</v>
      </c>
      <c r="C284" s="7" t="s">
        <v>1085</v>
      </c>
      <c r="D284" s="7" t="s">
        <v>30</v>
      </c>
      <c r="E284" s="13" t="n">
        <v>0.0257986111100763</v>
      </c>
      <c r="F284" s="7" t="str">
        <f aca="false">CONCATENATE(C284,"&gt;",D284)</f>
        <v>EKW200&gt;K28200</v>
      </c>
      <c r="G284" s="7" t="n">
        <f aca="false">VLOOKUP(F284,De_Para!$B$2:$C$1500,2,0)</f>
        <v>65</v>
      </c>
    </row>
    <row r="285" customFormat="false" ht="15" hidden="false" customHeight="false" outlineLevel="0" collapsed="false">
      <c r="A285" s="11" t="n">
        <f aca="false">MONTH(B285)</f>
        <v>12</v>
      </c>
      <c r="B285" s="12" t="n">
        <v>46004.7794675926</v>
      </c>
      <c r="C285" s="7" t="s">
        <v>30</v>
      </c>
      <c r="D285" s="7" t="s">
        <v>17</v>
      </c>
      <c r="E285" s="13" t="n">
        <v>0.0431828703658539</v>
      </c>
      <c r="F285" s="7" t="str">
        <f aca="false">CONCATENATE(C285,"&gt;",D285)</f>
        <v>K28200&gt;CKF233</v>
      </c>
      <c r="G285" s="7" t="n">
        <f aca="false">VLOOKUP(F285,De_Para!$B$2:$C$1500,2,0)</f>
        <v>90</v>
      </c>
    </row>
    <row r="286" customFormat="false" ht="15" hidden="false" customHeight="false" outlineLevel="0" collapsed="false">
      <c r="A286" s="11" t="n">
        <f aca="false">MONTH(B286)</f>
        <v>12</v>
      </c>
      <c r="B286" s="12" t="n">
        <v>46005.6268402778</v>
      </c>
      <c r="C286" s="7" t="s">
        <v>17</v>
      </c>
      <c r="D286" s="7" t="s">
        <v>1128</v>
      </c>
      <c r="E286" s="13" t="n">
        <v>0.313125000000582</v>
      </c>
      <c r="F286" s="7" t="str">
        <f aca="false">CONCATENATE(C286,"&gt;",D286)</f>
        <v>CKF233&gt;KKL200</v>
      </c>
      <c r="G286" s="7" t="n">
        <f aca="false">VLOOKUP(F286,De_Para!$B$2:$C$1500,2,0)</f>
        <v>60</v>
      </c>
    </row>
    <row r="287" customFormat="false" ht="15" hidden="false" customHeight="false" outlineLevel="0" collapsed="false">
      <c r="A287" s="11" t="n">
        <f aca="false">MONTH(B287)</f>
        <v>12</v>
      </c>
      <c r="B287" s="12" t="n">
        <v>46008.4530208333</v>
      </c>
      <c r="C287" s="7" t="s">
        <v>1128</v>
      </c>
      <c r="D287" s="7" t="s">
        <v>11</v>
      </c>
      <c r="E287" s="13" t="n">
        <v>0.0402662037013215</v>
      </c>
      <c r="F287" s="7" t="str">
        <f aca="false">CONCATENATE(C287,"&gt;",D287)</f>
        <v>KKL200&gt;CHD318</v>
      </c>
      <c r="G287" s="7" t="n">
        <f aca="false">VLOOKUP(F287,De_Para!$B$2:$C$1500,2,0)</f>
        <v>120</v>
      </c>
    </row>
    <row r="288" customFormat="false" ht="15" hidden="false" customHeight="false" outlineLevel="0" collapsed="false">
      <c r="A288" s="11" t="n">
        <f aca="false">MONTH(B288)</f>
        <v>12</v>
      </c>
      <c r="B288" s="12" t="n">
        <v>46010.7316898148</v>
      </c>
      <c r="C288" s="7" t="s">
        <v>11</v>
      </c>
      <c r="D288" s="7" t="s">
        <v>1116</v>
      </c>
      <c r="E288" s="13" t="n">
        <v>0.0153240740692127</v>
      </c>
      <c r="F288" s="7" t="str">
        <f aca="false">CONCATENATE(C288,"&gt;",D288)</f>
        <v>CHD318&gt;WTP300</v>
      </c>
      <c r="G288" s="7" t="n">
        <f aca="false">VLOOKUP(F288,De_Para!$B$2:$C$1500,2,0)</f>
        <v>240</v>
      </c>
    </row>
    <row r="289" customFormat="false" ht="15" hidden="false" customHeight="false" outlineLevel="0" collapsed="false">
      <c r="A289" s="11" t="n">
        <f aca="false">MONTH(B289)</f>
        <v>12</v>
      </c>
      <c r="B289" s="12" t="n">
        <v>46011.5326736111</v>
      </c>
      <c r="C289" s="7" t="s">
        <v>1116</v>
      </c>
      <c r="D289" s="7" t="s">
        <v>1114</v>
      </c>
      <c r="E289" s="13" t="n">
        <v>0.0383101851839456</v>
      </c>
      <c r="F289" s="7" t="str">
        <f aca="false">CONCATENATE(C289,"&gt;",D289)</f>
        <v>WTP300&gt;WTP250</v>
      </c>
      <c r="G289" s="7" t="n">
        <f aca="false">VLOOKUP(F289,De_Para!$B$2:$C$1500,2,0)</f>
        <v>60</v>
      </c>
    </row>
    <row r="290" customFormat="false" ht="15" hidden="false" customHeight="false" outlineLevel="0" collapsed="false">
      <c r="A290" s="11" t="n">
        <f aca="false">MONTH(B290)</f>
        <v>12</v>
      </c>
      <c r="B290" s="12" t="n">
        <v>46011.7541435185</v>
      </c>
      <c r="C290" s="7" t="s">
        <v>1114</v>
      </c>
      <c r="D290" s="7" t="s">
        <v>1093</v>
      </c>
      <c r="E290" s="13" t="n">
        <v>0.0391203703693464</v>
      </c>
      <c r="F290" s="7" t="str">
        <f aca="false">CONCATENATE(C290,"&gt;",D290)</f>
        <v>WTP250&gt;WTP220</v>
      </c>
      <c r="G290" s="7" t="n">
        <f aca="false">VLOOKUP(F290,De_Para!$B$2:$C$1500,2,0)</f>
        <v>240</v>
      </c>
    </row>
    <row r="291" customFormat="false" ht="15" hidden="false" customHeight="false" outlineLevel="0" collapsed="false">
      <c r="A291" s="11" t="n">
        <f aca="false">MONTH(B291)</f>
        <v>12</v>
      </c>
      <c r="B291" s="12" t="n">
        <v>46012.4889699074</v>
      </c>
      <c r="C291" s="7" t="s">
        <v>1093</v>
      </c>
      <c r="D291" s="7" t="s">
        <v>1094</v>
      </c>
      <c r="E291" s="13" t="n">
        <v>0.0364583333284827</v>
      </c>
      <c r="F291" s="7" t="str">
        <f aca="false">CONCATENATE(C291,"&gt;",D291)</f>
        <v>WTP220&gt;WTP205</v>
      </c>
      <c r="G291" s="7" t="n">
        <f aca="false">VLOOKUP(F291,De_Para!$B$2:$C$1500,2,0)</f>
        <v>30</v>
      </c>
    </row>
    <row r="292" customFormat="false" ht="15" hidden="false" customHeight="false" outlineLevel="0" collapsed="false">
      <c r="A292" s="11" t="n">
        <f aca="false">MONTH(B292)</f>
        <v>12</v>
      </c>
      <c r="B292" s="12" t="n">
        <v>46012.7479282407</v>
      </c>
      <c r="C292" s="7" t="s">
        <v>1094</v>
      </c>
      <c r="D292" s="7" t="s">
        <v>12</v>
      </c>
      <c r="E292" s="13" t="n">
        <v>0.0382523148145992</v>
      </c>
      <c r="F292" s="7" t="str">
        <f aca="false">CONCATENATE(C292,"&gt;",D292)</f>
        <v>WTP205&gt;CKQ300</v>
      </c>
      <c r="G292" s="7" t="n">
        <f aca="false">VLOOKUP(F292,De_Para!$B$2:$C$1500,2,0)</f>
        <v>240</v>
      </c>
    </row>
    <row r="293" customFormat="false" ht="15" hidden="false" customHeight="false" outlineLevel="0" collapsed="false">
      <c r="A293" s="11" t="n">
        <f aca="false">MONTH(B293)</f>
        <v>12</v>
      </c>
      <c r="B293" s="12" t="n">
        <v>46013.5619328704</v>
      </c>
      <c r="C293" s="7" t="s">
        <v>12</v>
      </c>
      <c r="D293" s="7" t="s">
        <v>10</v>
      </c>
      <c r="E293" s="13" t="n">
        <v>0.116608796291985</v>
      </c>
      <c r="F293" s="7" t="str">
        <f aca="false">CONCATENATE(C293,"&gt;",D293)</f>
        <v>CKQ300&gt;CKQ276</v>
      </c>
      <c r="G293" s="7" t="n">
        <f aca="false">VLOOKUP(F293,De_Para!$B$2:$C$1500,2,0)</f>
        <v>15</v>
      </c>
    </row>
    <row r="294" customFormat="false" ht="15" hidden="false" customHeight="false" outlineLevel="0" collapsed="false">
      <c r="A294" s="11" t="n">
        <f aca="false">MONTH(B294)</f>
        <v>12</v>
      </c>
      <c r="B294" s="12" t="n">
        <v>46014.3944444444</v>
      </c>
      <c r="C294" s="7" t="s">
        <v>10</v>
      </c>
      <c r="D294" s="7" t="s">
        <v>25</v>
      </c>
      <c r="E294" s="13" t="n">
        <v>0.04924768517958</v>
      </c>
      <c r="F294" s="7" t="str">
        <f aca="false">CONCATENATE(C294,"&gt;",D294)</f>
        <v>CKQ276&gt;EWP190</v>
      </c>
      <c r="G294" s="7" t="n">
        <f aca="false">VLOOKUP(F294,De_Para!$B$2:$C$1500,2,0)</f>
        <v>45</v>
      </c>
    </row>
    <row r="295" customFormat="false" ht="15" hidden="false" customHeight="false" outlineLevel="0" collapsed="false">
      <c r="A295" s="11" t="n">
        <f aca="false">MONTH(B295)</f>
        <v>12</v>
      </c>
      <c r="B295" s="12" t="n">
        <v>46014.7037615741</v>
      </c>
      <c r="C295" s="7" t="s">
        <v>25</v>
      </c>
      <c r="D295" s="7" t="s">
        <v>32</v>
      </c>
      <c r="E295" s="13" t="n">
        <v>0.186458333337214</v>
      </c>
      <c r="F295" s="7" t="str">
        <f aca="false">CONCATENATE(C295,"&gt;",D295)</f>
        <v>EWP190&gt;EWC175</v>
      </c>
      <c r="G295" s="7" t="n">
        <f aca="false">VLOOKUP(F295,De_Para!$B$2:$C$1500,2,0)</f>
        <v>60</v>
      </c>
    </row>
    <row r="296" customFormat="false" ht="15" hidden="false" customHeight="false" outlineLevel="0" collapsed="false">
      <c r="A296" s="11" t="n">
        <f aca="false">MONTH(B296)</f>
        <v>12</v>
      </c>
      <c r="B296" s="12" t="n">
        <v>46015.4011458333</v>
      </c>
      <c r="C296" s="7" t="s">
        <v>32</v>
      </c>
      <c r="D296" s="7" t="s">
        <v>21</v>
      </c>
      <c r="E296" s="13" t="n">
        <v>0.03166666666948</v>
      </c>
      <c r="F296" s="7" t="str">
        <f aca="false">CONCATENATE(C296,"&gt;",D296)</f>
        <v>EWC175&gt;CKF312</v>
      </c>
      <c r="G296" s="7" t="n">
        <f aca="false">VLOOKUP(F296,De_Para!$B$2:$C$1500,2,0)</f>
        <v>70</v>
      </c>
    </row>
    <row r="297" customFormat="false" ht="15" hidden="false" customHeight="false" outlineLevel="0" collapsed="false">
      <c r="A297" s="11" t="n">
        <f aca="false">MONTH(B297)</f>
        <v>12</v>
      </c>
      <c r="B297" s="12" t="n">
        <v>46018.5297453704</v>
      </c>
      <c r="C297" s="7" t="s">
        <v>21</v>
      </c>
      <c r="D297" s="7" t="s">
        <v>20</v>
      </c>
      <c r="E297" s="13" t="n">
        <v>0.0344791666648234</v>
      </c>
      <c r="F297" s="7" t="str">
        <f aca="false">CONCATENATE(C297,"&gt;",D297)</f>
        <v>CKF312&gt;CKF285</v>
      </c>
    </row>
    <row r="298" customFormat="false" ht="15" hidden="false" customHeight="false" outlineLevel="0" collapsed="false">
      <c r="A298" s="11" t="n">
        <f aca="false">MONTH(B298)</f>
        <v>12</v>
      </c>
      <c r="B298" s="12" t="n">
        <v>46019.4530092593</v>
      </c>
      <c r="C298" s="7" t="s">
        <v>20</v>
      </c>
      <c r="D298" s="7" t="s">
        <v>28</v>
      </c>
      <c r="E298" s="13" t="n">
        <v>0.0465856481532683</v>
      </c>
      <c r="F298" s="7" t="str">
        <f aca="false">CONCATENATE(C298,"&gt;",D298)</f>
        <v>CKF285&gt;K28150</v>
      </c>
    </row>
    <row r="299" customFormat="false" ht="15" hidden="false" customHeight="false" outlineLevel="0" collapsed="false">
      <c r="A299" s="11" t="n">
        <f aca="false">MONTH(B299)</f>
        <v>12</v>
      </c>
      <c r="B299" s="12" t="n">
        <v>46019.7844212963</v>
      </c>
      <c r="C299" s="7" t="s">
        <v>28</v>
      </c>
      <c r="D299" s="7" t="s">
        <v>29</v>
      </c>
      <c r="E299" s="13" t="n">
        <v>0.163530092591827</v>
      </c>
      <c r="F299" s="7" t="str">
        <f aca="false">CONCATENATE(C299,"&gt;",D299)</f>
        <v>K28150&gt;K28170</v>
      </c>
    </row>
    <row r="300" customFormat="false" ht="15" hidden="false" customHeight="false" outlineLevel="0" collapsed="false">
      <c r="A300" s="11" t="n">
        <f aca="false">MONTH(B300)</f>
        <v>12</v>
      </c>
      <c r="B300" s="12" t="n">
        <v>46020.4444907407</v>
      </c>
      <c r="C300" s="7" t="s">
        <v>29</v>
      </c>
      <c r="D300" s="7" t="s">
        <v>28</v>
      </c>
      <c r="E300" s="13" t="n">
        <v>0.0522569444437977</v>
      </c>
      <c r="F300" s="7" t="str">
        <f aca="false">CONCATENATE(C300,"&gt;",D300)</f>
        <v>K28170&gt;K28150</v>
      </c>
    </row>
    <row r="301" customFormat="false" ht="15" hidden="false" customHeight="false" outlineLevel="0" collapsed="false">
      <c r="A301" s="11" t="n">
        <f aca="false">MONTH(B301)</f>
        <v>12</v>
      </c>
      <c r="B301" s="12" t="n">
        <v>46022.4821412037</v>
      </c>
      <c r="C301" s="7" t="s">
        <v>28</v>
      </c>
      <c r="D301" s="7" t="s">
        <v>1126</v>
      </c>
      <c r="E301" s="13" t="n">
        <v>0.0459490740759065</v>
      </c>
      <c r="F301" s="7" t="str">
        <f aca="false">CONCATENATE(C301,"&gt;",D301)</f>
        <v>K28150&gt;LBS170</v>
      </c>
    </row>
  </sheetData>
  <autoFilter ref="A1:G301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F33:S36"/>
  <sheetViews>
    <sheetView showFormulas="false" showGridLines="true" showRowColHeaders="true" showZeros="true" rightToLeft="false" tabSelected="false" showOutlineSymbols="true" defaultGridColor="true" view="normal" topLeftCell="A22" colorId="64" zoomScale="90" zoomScaleNormal="90" zoomScalePageLayoutView="100" workbookViewId="0">
      <selection pane="topLeft" activeCell="G36" activeCellId="0" sqref="G36"/>
    </sheetView>
  </sheetViews>
  <sheetFormatPr defaultColWidth="8.5390625" defaultRowHeight="15" customHeight="true" zeroHeight="false" outlineLevelRow="0" outlineLevelCol="0"/>
  <cols>
    <col collapsed="false" customWidth="true" hidden="false" outlineLevel="0" max="6" min="6" style="0" width="12.86"/>
    <col collapsed="false" customWidth="true" hidden="false" outlineLevel="0" max="19" min="7" style="0" width="7.86"/>
  </cols>
  <sheetData>
    <row r="33" customFormat="false" ht="15" hidden="false" customHeight="false" outlineLevel="0" collapsed="false">
      <c r="F33" s="38"/>
      <c r="G33" s="39" t="s">
        <v>1099</v>
      </c>
      <c r="H33" s="39" t="s">
        <v>1100</v>
      </c>
      <c r="I33" s="39" t="s">
        <v>1101</v>
      </c>
      <c r="J33" s="39" t="s">
        <v>1102</v>
      </c>
      <c r="K33" s="39" t="s">
        <v>1103</v>
      </c>
      <c r="L33" s="39" t="s">
        <v>1104</v>
      </c>
      <c r="M33" s="39" t="s">
        <v>1105</v>
      </c>
      <c r="N33" s="39" t="s">
        <v>1106</v>
      </c>
      <c r="O33" s="39" t="s">
        <v>1107</v>
      </c>
      <c r="P33" s="39" t="s">
        <v>1108</v>
      </c>
      <c r="Q33" s="39" t="s">
        <v>1109</v>
      </c>
      <c r="R33" s="39" t="s">
        <v>1110</v>
      </c>
      <c r="S33" s="39" t="s">
        <v>1129</v>
      </c>
    </row>
    <row r="34" customFormat="false" ht="15" hidden="false" customHeight="false" outlineLevel="0" collapsed="false">
      <c r="F34" s="38" t="s">
        <v>1130</v>
      </c>
      <c r="G34" s="0" t="n">
        <v>32879</v>
      </c>
      <c r="H34" s="0" t="n">
        <v>30334</v>
      </c>
      <c r="I34" s="0" t="n">
        <v>33923</v>
      </c>
      <c r="J34" s="0" t="n">
        <v>34962</v>
      </c>
      <c r="K34" s="0" t="n">
        <v>35040</v>
      </c>
      <c r="L34" s="0" t="n">
        <v>36116</v>
      </c>
      <c r="M34" s="0" t="n">
        <v>37950</v>
      </c>
      <c r="N34" s="0" t="n">
        <v>38239</v>
      </c>
      <c r="O34" s="0" t="n">
        <v>37423</v>
      </c>
      <c r="P34" s="0" t="n">
        <v>39381</v>
      </c>
      <c r="Q34" s="0" t="n">
        <v>20171</v>
      </c>
      <c r="R34" s="0" t="n">
        <v>39332</v>
      </c>
      <c r="S34" s="0" t="n">
        <f aca="false">SUM(G34:R34)</f>
        <v>415750</v>
      </c>
    </row>
    <row r="35" customFormat="false" ht="15" hidden="false" customHeight="false" outlineLevel="0" collapsed="false">
      <c r="F35" s="38"/>
    </row>
    <row r="36" customFormat="false" ht="15" hidden="false" customHeight="false" outlineLevel="0" collapsed="false">
      <c r="F36" s="38" t="s">
        <v>1131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113DFBC241264CB0365F99F7878A08" ma:contentTypeVersion="16" ma:contentTypeDescription="Crie um novo documento." ma:contentTypeScope="" ma:versionID="5ddeefd22ef7c15245810c52f4f69da1">
  <xsd:schema xmlns:xsd="http://www.w3.org/2001/XMLSchema" xmlns:xs="http://www.w3.org/2001/XMLSchema" xmlns:p="http://schemas.microsoft.com/office/2006/metadata/properties" xmlns:ns3="f868e365-f110-454e-b75e-f3e85b9d9d60" xmlns:ns4="3b3e92f2-cd4d-4b67-b70c-55561c5a44f8" targetNamespace="http://schemas.microsoft.com/office/2006/metadata/properties" ma:root="true" ma:fieldsID="17ebe791d01f66fda619c6cfb6afa210" ns3:_="" ns4:_="">
    <xsd:import namespace="f868e365-f110-454e-b75e-f3e85b9d9d60"/>
    <xsd:import namespace="3b3e92f2-cd4d-4b67-b70c-55561c5a44f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68e365-f110-454e-b75e-f3e85b9d9d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3e92f2-cd4d-4b67-b70c-55561c5a44f8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68e365-f110-454e-b75e-f3e85b9d9d60" xsi:nil="true"/>
  </documentManagement>
</p:properties>
</file>

<file path=customXml/itemProps1.xml><?xml version="1.0" encoding="utf-8"?>
<ds:datastoreItem xmlns:ds="http://schemas.openxmlformats.org/officeDocument/2006/customXml" ds:itemID="{92BAC4AF-8A23-4036-AAF0-E03036E3FA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C3C641-C53D-4D89-8023-B2797A578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68e365-f110-454e-b75e-f3e85b9d9d60"/>
    <ds:schemaRef ds:uri="3b3e92f2-cd4d-4b67-b70c-55561c5a44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581633A-E0B2-4BDC-99AA-F955945015BD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3b3e92f2-cd4d-4b67-b70c-55561c5a44f8"/>
    <ds:schemaRef ds:uri="f868e365-f110-454e-b75e-f3e85b9d9d6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LibreOffice/25.2.3.2$Linux_X86_64 LibreOffice_project/520$Build-2</Application>
  <AppVersion>15.0000</AppVersion>
  <Company>Klabin S/A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2022-08-08T15:46:33Z</dcterms:created>
  <dc:creator>Marcelo Oliveira da Silva</dc:creator>
  <dc:description/>
  <dc:language>pt-BR</dc:language>
  <cp:lastModifiedBy/>
  <dcterms:modified xsi:type="dcterms:W3CDTF">2026-07-04T17:12:21Z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0x01010056113DFBC241264CB0365F99F7878A08</vt:lpwstr>
  </property>
</Properties>
</file>